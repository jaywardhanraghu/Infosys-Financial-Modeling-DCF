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_Cover" sheetId="1" state="visible" r:id="rId3"/>
    <sheet name="02_Assumptions" sheetId="2" state="visible" r:id="rId4"/>
    <sheet name="03_Historical" sheetId="3" state="visible" r:id="rId5"/>
    <sheet name="04_Forecast_Model" sheetId="4" state="visible" r:id="rId6"/>
    <sheet name="05_Supporting_Schedules" sheetId="5" state="visible" r:id="rId7"/>
    <sheet name="06_DCF" sheetId="6" state="visible" r:id="rId8"/>
    <sheet name="07_Comparable_Valuation" sheetId="7" state="visible" r:id="rId9"/>
    <sheet name="08_Sensitivity" sheetId="8" state="visible" r:id="rId10"/>
    <sheet name="09_Dashboard"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<sst xmlns="http://schemas.openxmlformats.org/spreadsheetml/2006/main" count="350" uniqueCount="301">
  <si>
    <t xml:space="preserve">INFOSYS LTD (NSE: INFY)</t>
  </si>
  <si>
    <t xml:space="preserve">Discounted Cash Flow Valuation &amp; Financial Model</t>
  </si>
  <si>
    <t xml:space="preserve">Company</t>
  </si>
  <si>
    <t xml:space="preserve">Infosys Ltd.</t>
  </si>
  <si>
    <t xml:space="preserve">NSE Ticker</t>
  </si>
  <si>
    <t xml:space="preserve">INFY</t>
  </si>
  <si>
    <t xml:space="preserve">BSE Code</t>
  </si>
  <si>
    <t xml:space="preserve">500209</t>
  </si>
  <si>
    <t xml:space="preserve">Sector / Industry</t>
  </si>
  <si>
    <t xml:space="preserve">Information Technology / IT Services &amp; Consulting</t>
  </si>
  <si>
    <t xml:space="preserve">Historical Period Covered</t>
  </si>
  <si>
    <t xml:space="preserve">FY2017 – FY2026 (Year ending 31 March)</t>
  </si>
  <si>
    <t xml:space="preserve">Forecast Period</t>
  </si>
  <si>
    <t xml:space="preserve">FY2027 – FY2031 (5-year explicit forecast + terminal value)</t>
  </si>
  <si>
    <t xml:space="preserve">Units</t>
  </si>
  <si>
    <t xml:space="preserve">₹ Crore, except per-share data (₹ per share) and ratios</t>
  </si>
  <si>
    <t xml:space="preserve">Valuation Date / As-of Price Date</t>
  </si>
  <si>
    <t xml:space="preserve">11-Aug-2026 (last traded close, per stock price history)</t>
  </si>
  <si>
    <t xml:space="preserve">Model Author</t>
  </si>
  <si>
    <t xml:space="preserve">[Candidate Name] — IIT Bombay, Placement Project (Dec 2026)</t>
  </si>
  <si>
    <t xml:space="preserve">MODEL PURPOSE</t>
  </si>
  <si>
    <t xml:space="preserve">This workbook is a professional-grade financial model and intrinsic valuation of Infosys Ltd., built to demonstrate corporate-finance, equity-research and financial-modeling competency for campus placements (Banking, Financial Analytics, Corporate Finance, Equity Research roles). It presents (i) 10 years of historical financial statements, (ii) a 5-year forecast driven by transparent, editable assumptions, (iii) an FCFF-based DCF valuation, (iv) a comparable-company (trading multiples) valuation, and (v) sensitivity and scenario analysis.</t>
  </si>
  <si>
    <t xml:space="preserve">DATA SOURCES</t>
  </si>
  <si>
    <t xml:space="preserve">• Historical Profit &amp; Loss, Balance Sheet and Cash Flow (FY2017–FY2026): Screener.in export of Infosys Ltd. audited consolidated financials (Infosys.xlsx, sourced from company annual reports / BSE-NSE filings).</t>
  </si>
  <si>
    <t xml:space="preserve">• Historical daily share price (Aug-2016 to Aug-2026): Yahoo Finance via yfinance (infosys_stock_history.csv).</t>
  </si>
  <si>
    <t xml:space="preserve">• FY2025-26 segment detail, effective tax rate, capital allocation and buyback commentary: Infosys Integrated Annual Report 2025-26 (infosys-ar-26.pdf).</t>
  </si>
  <si>
    <t xml:space="preserve">• Peer trading multiples (TCS, HCLTech, Wipro, LTM/LTIMindtree, Tech Mahindra, Persistent Systems): Screener.in company pages, data as of 12-Aug-2026 (see 07_Comparable_Valuation for citations).</t>
  </si>
  <si>
    <t xml:space="preserve">• Risk-free rate: India 10-Year G-Sec yield, ~6.8% as of Aug-2026 (Trading Economics / market data).</t>
  </si>
  <si>
    <t xml:space="preserve">• All other valuation inputs not directly sourced (beta, equity risk premium, pre-tax cost of debt, terminal growth, forecast margins) are clearly labelled ANALYST ASSUMPTION and are editable on 02_Assumptions.</t>
  </si>
  <si>
    <t xml:space="preserve">HOW TO USE / COLOUR LEGEND</t>
  </si>
  <si>
    <t xml:space="preserve">■</t>
  </si>
  <si>
    <t xml:space="preserve">Blue text, yellow fill — key hardcoded assumption / analyst input (editable)</t>
  </si>
  <si>
    <t xml:space="preserve">Blue text, no fill — hardcoded historical actual (sourced)</t>
  </si>
  <si>
    <t xml:space="preserve">Black text — formula (calculated; do not overwrite)</t>
  </si>
  <si>
    <t xml:space="preserve">Green text — link pulling a value from another sheet</t>
  </si>
  <si>
    <t xml:space="preserve">SHEET INDEX</t>
  </si>
  <si>
    <t xml:space="preserve">1. 01_Cover</t>
  </si>
  <si>
    <t xml:space="preserve">2. 02_Assumptions</t>
  </si>
  <si>
    <t xml:space="preserve">3. 03_Historical</t>
  </si>
  <si>
    <t xml:space="preserve">4. 04_Forecast_Model</t>
  </si>
  <si>
    <t xml:space="preserve">5. 05_Supporting_Schedules</t>
  </si>
  <si>
    <t xml:space="preserve">6. 06_DCF</t>
  </si>
  <si>
    <t xml:space="preserve">7. 07_Comparable_Valuation</t>
  </si>
  <si>
    <t xml:space="preserve">8. 08_Sensitivity</t>
  </si>
  <si>
    <t xml:space="preserve">9. 09_Dashboard</t>
  </si>
  <si>
    <t xml:space="preserve">02_ASSUMPTIONS  —  Editable Model Drivers (₹ Crore unless stated)</t>
  </si>
  <si>
    <t xml:space="preserve">All cells shaded yellow with blue text are editable analyst assumptions. Where a value is not directly disclosed by the company, it is derived from the FY2017-FY2026 historical average (see 03_Historical) or a stated market convention, and is clearly labelled below.</t>
  </si>
  <si>
    <t xml:space="preserve">A. FORECAST OPERATING ASSUMPTIONS (FY2027E – FY2031E)</t>
  </si>
  <si>
    <t xml:space="preserve">Driver</t>
  </si>
  <si>
    <t xml:space="preserve">FY2027E</t>
  </si>
  <si>
    <t xml:space="preserve">FY2028E</t>
  </si>
  <si>
    <t xml:space="preserve">FY2029E</t>
  </si>
  <si>
    <t xml:space="preserve">FY2030E</t>
  </si>
  <si>
    <t xml:space="preserve">FY2031E</t>
  </si>
  <si>
    <t xml:space="preserve">Revenue growth (%)</t>
  </si>
  <si>
    <t xml:space="preserve">EBITDA margin (%)</t>
  </si>
  <si>
    <t xml:space="preserve">D&amp;A (% of revenue)</t>
  </si>
  <si>
    <t xml:space="preserve">CapEx (% of revenue)</t>
  </si>
  <si>
    <t xml:space="preserve">Net working capital (% of revenue)</t>
  </si>
  <si>
    <t xml:space="preserve">Effective tax rate (%)</t>
  </si>
  <si>
    <t xml:space="preserve">Borrowings (% of revenue) — debt schedule</t>
  </si>
  <si>
    <t xml:space="preserve">Effective interest rate on borrowings (%)</t>
  </si>
  <si>
    <t xml:space="preserve">Dividend payout ratio (%) — informational only, not used in FCFF DCF</t>
  </si>
  <si>
    <t xml:space="preserve">Note: Revenue growth &amp; EBITDA margin: analyst assumption, consistent with the Data_Cleaning / Forecasting Python notebooks (moderating growth from FY26 actual of ~9.6%, and margin normalising from FY26's 23.7% towards Infosys' 10-yr average of ~24.8% as AI-led services scale).</t>
  </si>
  <si>
    <t xml:space="preserve">Note: D&amp;A % revenue and Effective tax rate: linked to 10-year historical average (03_Historical row 18-19) — override the linked cells above with a flat number if a different view is preferred.</t>
  </si>
  <si>
    <t xml:space="preserve">Note: CapEx % revenue: analyst assumption based on FY2022-FY2026 average of a fixed-asset roll-forward estimate (Infosys does not separately disclose maintenance capex in the Screener export); see 03_Historical note.</t>
  </si>
  <si>
    <t xml:space="preserve">Note: NWC % revenue: analyst assumption based on FY2024-FY2026 average (most recent, most representative of current billing/collection cycle).</t>
  </si>
  <si>
    <t xml:space="preserve">Note: Borrowings % revenue &amp; interest rate: analyst assumption based on FY2020-FY2026 average; Infosys carries minimal debt (largely lease liabilities under Ind AS 116), so this has a small effect on FCFF.</t>
  </si>
  <si>
    <t xml:space="preserve">B. VALUATION ASSUMPTIONS</t>
  </si>
  <si>
    <t xml:space="preserve">Item</t>
  </si>
  <si>
    <t xml:space="preserve">Value</t>
  </si>
  <si>
    <t xml:space="preserve">Source / Note</t>
  </si>
  <si>
    <t xml:space="preserve">Risk-free rate (Rf)</t>
  </si>
  <si>
    <t xml:space="preserve">India 10-Year G-Sec yield, ~6.8-6.9% as of Aug-2026 (market data). Editable.</t>
  </si>
  <si>
    <t xml:space="preserve">Equity risk premium (ERP)</t>
  </si>
  <si>
    <t xml:space="preserve">ANALYST ASSUMPTION — typical India equity risk premium used by practitioners (~6-7%). Editable.</t>
  </si>
  <si>
    <t xml:space="preserve">Levered beta</t>
  </si>
  <si>
    <t xml:space="preserve">ANALYST ASSUMPTION — Infosys 5Y beta is commonly reported in the 0.7-0.9 range vs. broad market indices. Editable.</t>
  </si>
  <si>
    <t xml:space="preserve">Cost of equity (Ke = Rf + β × ERP)</t>
  </si>
  <si>
    <t xml:space="preserve">Pre-tax cost of debt (Kd)</t>
  </si>
  <si>
    <t xml:space="preserve">ANALYST ASSUMPTION — approx. India AAA corporate bond yield; more representative of a market cost of debt than Infosys' own (very low, lease-driven) imputed interest rate. Editable.</t>
  </si>
  <si>
    <t xml:space="preserve">Tax rate used for after-tax Kd (%)</t>
  </si>
  <si>
    <t xml:space="preserve">After-tax cost of debt (Kd × (1-t))</t>
  </si>
  <si>
    <t xml:space="preserve">Current share price (₹)</t>
  </si>
  <si>
    <t xml:space="preserve">Last traded close, 11-Aug-2026 (infosys_stock_history.csv / Screener 'Current Price'). Editable — update before submission if presenting on a later date.</t>
  </si>
  <si>
    <t xml:space="preserve">Shares outstanding (Crore)</t>
  </si>
  <si>
    <t xml:space="preserve">Per Screener 'Number of shares' (in Crore), FY2026. NOTE: units are Crore of shares, not millions — see 06_DCF check.</t>
  </si>
  <si>
    <t xml:space="preserve">Market capitalisation (₹ Cr) = Price × Shares</t>
  </si>
  <si>
    <t xml:space="preserve">Total debt / borrowings (₹ Cr)</t>
  </si>
  <si>
    <t xml:space="preserve">FY2026 borrowings, linked from 03_Historical (consolidated balance sheet).</t>
  </si>
  <si>
    <t xml:space="preserve">Cash &amp; investments (₹ Cr)</t>
  </si>
  <si>
    <t xml:space="preserve">FY2026 investments (incl. liquid/cash-equivalent investments), linked from 03_Historical.</t>
  </si>
  <si>
    <t xml:space="preserve">Weight of equity E/(D+E)</t>
  </si>
  <si>
    <t xml:space="preserve">Weight of debt D/(D+E)</t>
  </si>
  <si>
    <t xml:space="preserve">WACC = We×Ke + Wd×Kd(1-t)</t>
  </si>
  <si>
    <t xml:space="preserve">Terminal growth rate (g)</t>
  </si>
  <si>
    <t xml:space="preserve">ANALYST ASSUMPTION — long-run nominal growth, broadly in line with global GDP + inflation; kept below WACC. Editable (see 08_Sensitivity for a range).</t>
  </si>
  <si>
    <t xml:space="preserve">03_HISTORICAL — Audited Financial Statements, FY2017–FY2026 (₹ Crore, except per-share data)</t>
  </si>
  <si>
    <t xml:space="preserve">Source: Screener.in export of audited consolidated financials (Infosys.xlsx); FY2026 figures cross-checked against Infosys Integrated Annual Report 2025-26.</t>
  </si>
  <si>
    <t xml:space="preserve">Particulars</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</si>
  <si>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</si>
  <si>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</si>
  <si>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</si>
  <si>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</si>
  <si>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</si>
  <si>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</si>
  <si>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</si>
  <si>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</si>
  <si>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</si>
  <si>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</si>
  <si>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10-Yr Avg</t>
  </si>
  <si>
    <t xml:space="preserve">INCOME STATEMENT</t>
  </si>
  <si>
    <t xml:space="preserve">Revenue</t>
  </si>
  <si>
    <t xml:space="preserve">Operating Expenses</t>
  </si>
  <si>
    <t xml:space="preserve">EBITDA (Operating Profit)</t>
  </si>
  <si>
    <t xml:space="preserve">Other Income</t>
  </si>
  <si>
    <t xml:space="preserve">Depreciation &amp; Amortisation</t>
  </si>
  <si>
    <t xml:space="preserve">Interest Expense</t>
  </si>
  <si>
    <t xml:space="preserve">EBIT (EBITDA less D&amp;A)</t>
  </si>
  <si>
    <t xml:space="preserve">Profit Before Tax (PBT)</t>
  </si>
  <si>
    <t xml:space="preserve">Tax</t>
  </si>
  <si>
    <t xml:space="preserve">Net Income (PAT)</t>
  </si>
  <si>
    <t xml:space="preserve">EPS (₹, Basic, as reported)</t>
  </si>
  <si>
    <t xml:space="preserve">Share Price (₹, FY-end close)</t>
  </si>
  <si>
    <t xml:space="preserve">Revenue growth (% YoY)</t>
  </si>
  <si>
    <t xml:space="preserve">BALANCE SHEET</t>
  </si>
  <si>
    <t xml:space="preserve">Share Capital</t>
  </si>
  <si>
    <t xml:space="preserve">Reserves &amp; Surplus</t>
  </si>
  <si>
    <t xml:space="preserve">Total Shareholders' Equity</t>
  </si>
  <si>
    <t xml:space="preserve">Borrowings</t>
  </si>
  <si>
    <t xml:space="preserve">Other Liabilities</t>
  </si>
  <si>
    <t xml:space="preserve">Total Equity &amp; Liabilities</t>
  </si>
  <si>
    <t xml:space="preserve">Net Block (Fixed Assets)</t>
  </si>
  <si>
    <t xml:space="preserve">Capital Work-in-Progress</t>
  </si>
  <si>
    <t xml:space="preserve">Investments</t>
  </si>
  <si>
    <t xml:space="preserve">Other Assets</t>
  </si>
  <si>
    <t xml:space="preserve">Total Assets</t>
  </si>
  <si>
    <t xml:space="preserve">Net Working Capital</t>
  </si>
  <si>
    <t xml:space="preserve">Trade Receivables (Debtors)</t>
  </si>
  <si>
    <t xml:space="preserve">CASH FLOW STATEMENT</t>
  </si>
  <si>
    <t xml:space="preserve">Cash from Operating Activities</t>
  </si>
  <si>
    <t xml:space="preserve">Cash from Investing Activities</t>
  </si>
  <si>
    <t xml:space="preserve">Cash from Financing Activities</t>
  </si>
  <si>
    <t xml:space="preserve">Net Change in Cash</t>
  </si>
  <si>
    <t xml:space="preserve">DERIVED / SUPPORTING RATIOS (used to set forecast assumptions)</t>
  </si>
  <si>
    <t xml:space="preserve">CapEx (derived, ₹ Cr) — see note</t>
  </si>
  <si>
    <t xml:space="preserve">Borrowings (% of revenue)</t>
  </si>
  <si>
    <t xml:space="preserve">Note on CapEx: Screener's standard export does not provide a direct 'capital expenditure' cash-flow line for Infosys, so CapEx above is estimated from the fixed-asset roll-forward: CapEx ≈ ΔNet Block + ΔCWIP + Depreciation. This proxy is noisy in FY2020 due to the one-time recognition of right-of-use lease assets under Ind AS 116; the FY2022-FY2026 average is used to set the forecast CapEx assumption.</t>
  </si>
  <si>
    <t xml:space="preserve">04_FORECAST MODEL — Income Statement, FY2027E–FY2031E (₹ Crore)</t>
  </si>
  <si>
    <t xml:space="preserve">All figures below are formulas linked to 02_Assumptions and 05_Supporting_Schedules — no hardcoded forecast outputs.</t>
  </si>
  <si>
    <t xml:space="preserve">  Revenue growth (% YoY)</t>
  </si>
  <si>
    <t xml:space="preserve">EBITDA</t>
  </si>
  <si>
    <t xml:space="preserve">  EBITDA margin (%)</t>
  </si>
  <si>
    <t xml:space="preserve">EBIT</t>
  </si>
  <si>
    <t xml:space="preserve">Net Income</t>
  </si>
  <si>
    <t xml:space="preserve">05_SUPPORTING SCHEDULES — FY2027E–FY2031E (₹ Crore)</t>
  </si>
  <si>
    <t xml:space="preserve">A. DEPRECIATION &amp; CAPEX SCHEDULE</t>
  </si>
  <si>
    <t xml:space="preserve">Revenue (link from 04_Forecast_Model)</t>
  </si>
  <si>
    <t xml:space="preserve">CapEx (Revenue × CapEx %)</t>
  </si>
  <si>
    <t xml:space="preserve">Depreciation &amp; Amortisation (Revenue × D&amp;A %)</t>
  </si>
  <si>
    <t xml:space="preserve">Opening Net Block</t>
  </si>
  <si>
    <t xml:space="preserve">Add: CapEx  /  Less: D&amp;A</t>
  </si>
  <si>
    <t xml:space="preserve">Closing Net Block</t>
  </si>
  <si>
    <t xml:space="preserve">B. WORKING CAPITAL SCHEDULE</t>
  </si>
  <si>
    <t xml:space="preserve">Net Working Capital (Revenue × NWC %)</t>
  </si>
  <si>
    <t xml:space="preserve">Prior-year NWC</t>
  </si>
  <si>
    <t xml:space="preserve">Increase / (Decrease) in NWC</t>
  </si>
  <si>
    <t xml:space="preserve">C. DEBT &amp; INTEREST SCHEDULE</t>
  </si>
  <si>
    <t xml:space="preserve">Borrowings (Revenue × Debt %)</t>
  </si>
  <si>
    <t xml:space="preserve">Interest Expense (Borrowings × rate)</t>
  </si>
  <si>
    <t xml:space="preserve">Simplifications: (i) Closing Net Block roll-forward assumes CapEx and D&amp;A are the only fixed-asset movements (no disposals). (ii) Interest is calculated on the closing (not average) borrowings balance — immaterial given Infosys' low leverage. Both are standard, disclosed simplifications for a forecast of this scope.</t>
  </si>
  <si>
    <t xml:space="preserve">06_DCF — FCFF-Based Intrinsic Valuation (₹ Crore, except per-share data)</t>
  </si>
  <si>
    <t xml:space="preserve">FCFF = EBIT × (1 − Tax Rate) + D&amp;A − CapEx − Increase in NWC</t>
  </si>
  <si>
    <t xml:space="preserve">Terminal</t>
  </si>
  <si>
    <t xml:space="preserve">Less: Tax on EBIT (at assumption tax rate)</t>
  </si>
  <si>
    <t xml:space="preserve">NOPAT = EBIT × (1 − Tax Rate)</t>
  </si>
  <si>
    <t xml:space="preserve">Add: Depreciation &amp; Amortisation</t>
  </si>
  <si>
    <t xml:space="preserve">Less: CapEx</t>
  </si>
  <si>
    <t xml:space="preserve">Less: Increase in Net Working Capital</t>
  </si>
  <si>
    <t xml:space="preserve">Free Cash Flow to Firm (FCFF)</t>
  </si>
  <si>
    <t xml:space="preserve">Discount period (n)</t>
  </si>
  <si>
    <t xml:space="preserve">Discount factor = 1/(1+WACC)^n</t>
  </si>
  <si>
    <t xml:space="preserve">PV of FCFF</t>
  </si>
  <si>
    <t xml:space="preserve">TERMINAL VALUE &amp; ENTERPRISE VALUE BRIDGE</t>
  </si>
  <si>
    <t xml:space="preserve">Sum of PV of explicit-period FCFF (FY27E–FY31E)</t>
  </si>
  <si>
    <t xml:space="preserve">Terminal Value (Gordon Growth, at end of FY31E)</t>
  </si>
  <si>
    <t xml:space="preserve">PV of Terminal Value</t>
  </si>
  <si>
    <t xml:space="preserve">Enterprise Value (EV)</t>
  </si>
  <si>
    <t xml:space="preserve">  Terminal value as % of EV (sanity check)</t>
  </si>
  <si>
    <t xml:space="preserve">Less: Total Debt</t>
  </si>
  <si>
    <t xml:space="preserve">Add: Cash &amp; Investments</t>
  </si>
  <si>
    <t xml:space="preserve">Equity Value</t>
  </si>
  <si>
    <t xml:space="preserve">Shares Outstanding (Crore)</t>
  </si>
  <si>
    <t xml:space="preserve">Intrinsic Value per Share (₹)</t>
  </si>
  <si>
    <t xml:space="preserve">Current Share Price (₹)</t>
  </si>
  <si>
    <t xml:space="preserve">Upside / (Downside) to Intrinsic Value</t>
  </si>
  <si>
    <t xml:space="preserve">Unit check: Shares Outstanding is expressed in Crore (405.90 Cr = 4,058,900,000 shares), matching the ₹-Crore units used for Equity Value throughout, so Equity Value (₹ Cr) ÷ Shares (Cr) correctly yields ₹ per share — Crore is not mistakenly treated as millions.</t>
  </si>
  <si>
    <t xml:space="preserve">07_COMPARABLE COMPANY VALUATION — Indian IT Services Peers (₹ Crore)</t>
  </si>
  <si>
    <t xml:space="preserve">Source: Screener.in company pages, data as of 12-Aug-2026. Cells shaded yellow are editable — verify from Screener/Bloomberg before submission. EV/EBITDA and EV/Sales computed from Mkt Cap + Debt - Cash and FY2026 reported EBITDA/Revenue. P/B sourced from Screener 'Book Value' and CMP.</t>
  </si>
  <si>
    <t xml:space="preserve">CMP (₹)</t>
  </si>
  <si>
    <t xml:space="preserve">Mkt Cap (₹Cr)</t>
  </si>
  <si>
    <t xml:space="preserve">Net Profit (₹Cr)</t>
  </si>
  <si>
    <t xml:space="preserve">EBITDA (₹Cr)</t>
  </si>
  <si>
    <t xml:space="preserve">Revenue (₹Cr)</t>
  </si>
  <si>
    <t xml:space="preserve">P/E</t>
  </si>
  <si>
    <t xml:space="preserve">EV/EBITDA</t>
  </si>
  <si>
    <t xml:space="preserve">EV/Sales</t>
  </si>
  <si>
    <t xml:space="preserve">P/B</t>
  </si>
  <si>
    <t xml:space="preserve">TCS</t>
  </si>
  <si>
    <t xml:space="preserve">HCLTech</t>
  </si>
  <si>
    <t xml:space="preserve">Wipro</t>
  </si>
  <si>
    <t xml:space="preserve">LTM (LTIMindtree)</t>
  </si>
  <si>
    <t xml:space="preserve">Tech Mahindra</t>
  </si>
  <si>
    <t xml:space="preserve">Persistent Sys</t>
  </si>
  <si>
    <t xml:space="preserve">Peer Median</t>
  </si>
  <si>
    <t xml:space="preserve">Peer Mean</t>
  </si>
  <si>
    <t xml:space="preserve">INFOSYS ACTUAL FY2026 DATA (for implied valuation)</t>
  </si>
  <si>
    <t xml:space="preserve">Net Profit (₹ Cr)</t>
  </si>
  <si>
    <t xml:space="preserve">EBITDA (₹ Cr)</t>
  </si>
  <si>
    <t xml:space="preserve">Revenue (₹ Cr)</t>
  </si>
  <si>
    <t xml:space="preserve">Market Cap (₹ Cr)</t>
  </si>
  <si>
    <t xml:space="preserve">Debt (₹ Cr)</t>
  </si>
  <si>
    <t xml:space="preserve">Cash &amp; Inv (₹ Cr)</t>
  </si>
  <si>
    <t xml:space="preserve">INFOSYS IMPLIED VALUATION USING PEER MULTIPLES</t>
  </si>
  <si>
    <t xml:space="preserve">Method</t>
  </si>
  <si>
    <t xml:space="preserve">Metric</t>
  </si>
  <si>
    <t xml:space="preserve">Implied Mkt Cap (₹ Cr)</t>
  </si>
  <si>
    <t xml:space="preserve">Implied Value/Share (₹)</t>
  </si>
  <si>
    <t xml:space="preserve">vs. CMP (₹)</t>
  </si>
  <si>
    <t xml:space="preserve">Premium/(Discount)</t>
  </si>
  <si>
    <t xml:space="preserve">P/E × NP</t>
  </si>
  <si>
    <t xml:space="preserve">EV/EBITDA × EBITDA − Debt + Cash</t>
  </si>
  <si>
    <t xml:space="preserve">EV/Sales × Revenue − Debt + Cash</t>
  </si>
  <si>
    <t xml:space="preserve">IMPORTANT — Comparables Methodology Notes:
1. Peer multiples are derived from Screener.in data dated 12-Aug-2026 and use FY2026 earnings/EBITDA/revenue. Market caps use the prices as of 12-Aug-2026.
2. P/B has been excluded from implied-valuation derivation because Infosys' asset-light model and high ROE make book-value multiples an unreliable anchor for market value (common practice in IT services).
3. Update the yellow cells in the peer table if fresher data is available before submission.
4. The implied valuations above are indicative range markers, not a precise estimate. A blended value of comparable-company and DCF intrinsic value is the standard buy-side output.</t>
  </si>
  <si>
    <t xml:space="preserve">08_SENSITIVITY ANALYSIS — WACC vs Terminal Growth Rate / Scenario Analysis</t>
  </si>
  <si>
    <t xml:space="preserve">A.  INTRINSIC VALUE PER SHARE (₹) — WACC (rows) × Terminal Growth Rate (columns)</t>
  </si>
  <si>
    <t xml:space="preserve">WACC →   / Terminal g ↓</t>
  </si>
  <si>
    <t xml:space="preserve">Shading: green cell = Base WACC 10% / g 4.0%; blue = 12% WACC / g 4.0%. Each cell is a fully live formula; changing FCFF outputs in 06_DCF will flow through.</t>
  </si>
  <si>
    <t xml:space="preserve">B.  SCENARIO ANALYSIS — Bear / Base / Bull CASE</t>
  </si>
  <si>
    <t xml:space="preserve">Assumption / Output</t>
  </si>
  <si>
    <t xml:space="preserve">Bear Case</t>
  </si>
  <si>
    <t xml:space="preserve">Base Case</t>
  </si>
  <si>
    <t xml:space="preserve">Bull Case</t>
  </si>
  <si>
    <t xml:space="preserve">Comments</t>
  </si>
  <si>
    <t xml:space="preserve">5-year revenue CAGR assumed</t>
  </si>
  <si>
    <t xml:space="preserve">Annualised blended growth over FY2027-31</t>
  </si>
  <si>
    <t xml:space="preserve">EBITDA margin (stable over horizon)</t>
  </si>
  <si>
    <t xml:space="preserve">Flat margin applied to all 5 forecast years</t>
  </si>
  <si>
    <t xml:space="preserve">WACC used</t>
  </si>
  <si>
    <t xml:space="preserve">Bear/Bull = base ±200bps</t>
  </si>
  <si>
    <t xml:space="preserve">Terminal growth rate</t>
  </si>
  <si>
    <t xml:space="preserve">Long-run nominal GDP growth anchor</t>
  </si>
  <si>
    <t xml:space="preserve">IMPLIED INTRINSIC VALUE / SHARE (₹)</t>
  </si>
  <si>
    <t xml:space="preserve">Each scenario IVPS is a self-contained formula — no links to 06_DCF</t>
  </si>
  <si>
    <t xml:space="preserve">Upside / (Downside) to CMP</t>
  </si>
  <si>
    <t xml:space="preserve">Revenue CAGR of ~5.5% (macro slowdown, client budget cuts), margin compression to 22.5%, higher discount rate (+200bps). Represents a pessimistic scenario with global IT spending headwinds.</t>
  </si>
  <si>
    <t xml:space="preserve">Revenue CAGR of ~7.5% (consistent with management commentary on demand recovery and AI-led spend), margins steady at 24%, model WACC and 4% terminal growth.</t>
  </si>
  <si>
    <t xml:space="preserve">Revenue CAGR of ~10% (AI-first services acceleration, large deal wins), margin expansion to 26% on operating leverage, tighter discount rate (lower risk premium as growth certainty improves).</t>
  </si>
  <si>
    <t xml:space="preserve">INFOSYS LTD (INFY) — VALUATION SUMMARY DASHBOARD</t>
  </si>
  <si>
    <t xml:space="preserve">All figures ₹ Crore unless stated | Historical: FY2017-FY2026 | Forecast: FY2027E-FY2031E</t>
  </si>
  <si>
    <t xml:space="preserve">VALUATION OUTPUTS</t>
  </si>
  <si>
    <t xml:space="preserve">DCF Intrinsic Value (₹)</t>
  </si>
  <si>
    <t xml:space="preserve">Upside / (Downside)</t>
  </si>
  <si>
    <t xml:space="preserve">WACC</t>
  </si>
  <si>
    <t xml:space="preserve">Terminal Growth Rate</t>
  </si>
  <si>
    <t xml:space="preserve">Enterprise Value (₹ Cr)</t>
  </si>
  <si>
    <t xml:space="preserve">Equity Value (₹ Cr)</t>
  </si>
  <si>
    <t xml:space="preserve">Cost of Equity (Ke)</t>
  </si>
  <si>
    <t xml:space="preserve">Beta</t>
  </si>
  <si>
    <t xml:space="preserve">Risk-Free Rate</t>
  </si>
  <si>
    <t xml:space="preserve">ERP</t>
  </si>
  <si>
    <t xml:space="preserve">After-tax Kd</t>
  </si>
  <si>
    <t xml:space="preserve">Shares Outstanding (Cr)</t>
  </si>
  <si>
    <t xml:space="preserve">FORECAST SUMMARY (FY2027E – FY2031E)  |  All values ₹ Crore</t>
  </si>
  <si>
    <t xml:space="preserve">FY27E</t>
  </si>
  <si>
    <t xml:space="preserve">FY28E</t>
  </si>
  <si>
    <t xml:space="preserve">FY29E</t>
  </si>
  <si>
    <t xml:space="preserve">FY30E</t>
  </si>
  <si>
    <t xml:space="preserve">FY31E</t>
  </si>
  <si>
    <t xml:space="preserve">(₹ Cr)</t>
  </si>
  <si>
    <t xml:space="preserve">EBITDA Margin</t>
  </si>
  <si>
    <t xml:space="preserve">(%)</t>
  </si>
  <si>
    <t xml:space="preserve">FCFF</t>
  </si>
  <si>
    <t xml:space="preserve">(₹ Cr (from 06_DCF))</t>
  </si>
  <si>
    <t xml:space="preserve">SCENARIO RANGE — INTRINSIC VALUE PER SHARE (₹)</t>
  </si>
  <si>
    <t xml:space="preserve">Bear Case IVPS (₹)</t>
  </si>
  <si>
    <t xml:space="preserve">Base Case IVPS (₹)</t>
  </si>
  <si>
    <t xml:space="preserve">Bull Case IVPS (₹)</t>
  </si>
  <si>
    <t xml:space="preserve">Current CMP (₹)</t>
  </si>
  <si>
    <t xml:space="preserve">Bear / CMP</t>
  </si>
  <si>
    <t xml:space="preserve">Base / CMP</t>
  </si>
  <si>
    <t xml:space="preserve">Bull / CMP</t>
  </si>
  <si>
    <t xml:space="preserve">HISTORICAL PERFORMANCE HIGHLIGHTS (FY2026 Actuals)</t>
  </si>
  <si>
    <t xml:space="preserve">FY26 Revenue (₹ Cr)</t>
  </si>
  <si>
    <t xml:space="preserve">FY26 EBITDA (₹ Cr)</t>
  </si>
  <si>
    <t xml:space="preserve">FY26 EBITDA Margin</t>
  </si>
  <si>
    <t xml:space="preserve">FY26 Net Profit (₹ Cr)</t>
  </si>
  <si>
    <t xml:space="preserve">FY26 EPS (₹)</t>
  </si>
  <si>
    <t xml:space="preserve">FY26 Op Cash Flow (₹ Cr)</t>
  </si>
  <si>
    <t xml:space="preserve">10-yr Rev CAGR</t>
  </si>
  <si>
    <t xml:space="preserve">This dashboard is a read-only summary. Edit all assumptions in 02_Assumptions. Peer multiples in 07_Comparable_Valuation should be refreshed from live market data before submission. All output cells on this sheet are formula-driven; nothing is hardcoded.</t>
  </si>
</sst>
</file>

<file path=xl/styles.xml><?xml version="1.0" encoding="utf-8"?>
<styleSheet xmlns="http://schemas.openxmlformats.org/spreadsheetml/2006/main">
  <numFmts count="6">
    <numFmt numFmtId="164" formatCode="General"/>
    <numFmt numFmtId="165" formatCode="0.0%"/>
    <numFmt numFmtId="166" formatCode="#,##0.00;\(#,##0.00\);\-"/>
    <numFmt numFmtId="167" formatCode="\₹#,##0.00"/>
    <numFmt numFmtId="168" formatCode="#,##0;\(#,##0\);\-"/>
    <numFmt numFmtId="169" formatCode="0.00\x"/>
  </numFmts>
  <fonts count="26">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b val="true"/>
      <i val="true"/>
      <sz val="13"/>
      <color rgb="FFFFFFFF"/>
      <name val="Arial"/>
      <family val="0"/>
      <charset val="1"/>
    </font>
    <font>
      <b val="true"/>
      <sz val="11"/>
      <color rgb="FF000000"/>
      <name val="Arial"/>
      <family val="0"/>
      <charset val="1"/>
    </font>
    <font>
      <sz val="11"/>
      <color rgb="FF000000"/>
      <name val="Arial"/>
      <family val="0"/>
      <charset val="1"/>
    </font>
    <font>
      <b val="true"/>
      <sz val="12"/>
      <color rgb="FFFFFFFF"/>
      <name val="Arial"/>
      <family val="0"/>
      <charset val="1"/>
    </font>
    <font>
      <sz val="10"/>
      <color rgb="FF000000"/>
      <name val="Arial"/>
      <family val="0"/>
      <charset val="1"/>
    </font>
    <font>
      <b val="true"/>
      <sz val="14"/>
      <color rgb="FF0000FF"/>
      <name val="Arial"/>
      <family val="0"/>
      <charset val="1"/>
    </font>
    <font>
      <b val="true"/>
      <sz val="14"/>
      <color rgb="FF000000"/>
      <name val="Arial"/>
      <family val="0"/>
      <charset val="1"/>
    </font>
    <font>
      <b val="true"/>
      <sz val="14"/>
      <color rgb="FF008000"/>
      <name val="Arial"/>
      <family val="0"/>
      <charset val="1"/>
    </font>
    <font>
      <b val="true"/>
      <sz val="14"/>
      <color rgb="FFFFFFFF"/>
      <name val="Arial"/>
      <family val="0"/>
      <charset val="1"/>
    </font>
    <font>
      <i val="true"/>
      <sz val="9"/>
      <color rgb="FF000000"/>
      <name val="Arial"/>
      <family val="0"/>
      <charset val="1"/>
    </font>
    <font>
      <b val="true"/>
      <sz val="11"/>
      <color rgb="FFFFFFFF"/>
      <name val="Arial"/>
      <family val="0"/>
      <charset val="1"/>
    </font>
    <font>
      <sz val="11"/>
      <color rgb="FF0000FF"/>
      <name val="Arial"/>
      <family val="0"/>
      <charset val="1"/>
    </font>
    <font>
      <sz val="11"/>
      <color rgb="FF008000"/>
      <name val="Arial"/>
      <family val="0"/>
      <charset val="1"/>
    </font>
    <font>
      <i val="true"/>
      <sz val="11"/>
      <color rgb="FF000000"/>
      <name val="Arial"/>
      <family val="0"/>
      <charset val="1"/>
    </font>
    <font>
      <b val="true"/>
      <sz val="11"/>
      <color rgb="FF008000"/>
      <name val="Arial"/>
      <family val="0"/>
      <charset val="1"/>
    </font>
    <font>
      <b val="true"/>
      <i val="true"/>
      <sz val="10"/>
      <color rgb="FF000000"/>
      <name val="Arial"/>
      <family val="0"/>
      <charset val="1"/>
    </font>
    <font>
      <sz val="9"/>
      <color rgb="FF000000"/>
      <name val="Arial"/>
      <family val="0"/>
      <charset val="1"/>
    </font>
    <font>
      <b val="true"/>
      <sz val="16"/>
      <color rgb="FFFFFFFF"/>
      <name val="Arial"/>
      <family val="0"/>
      <charset val="1"/>
    </font>
    <font>
      <i val="true"/>
      <sz val="10"/>
      <color rgb="FF000000"/>
      <name val="Arial"/>
      <family val="0"/>
      <charset val="1"/>
    </font>
    <font>
      <b val="true"/>
      <sz val="9"/>
      <color rgb="FF1F2A44"/>
      <name val="Arial"/>
      <family val="0"/>
      <charset val="1"/>
    </font>
    <font>
      <b val="true"/>
      <sz val="14"/>
      <color rgb="FF1F2A44"/>
      <name val="Arial"/>
      <family val="0"/>
      <charset val="1"/>
    </font>
  </fonts>
  <fills count="10">
    <fill>
      <patternFill patternType="none"/>
    </fill>
    <fill>
      <patternFill patternType="gray125"/>
    </fill>
    <fill>
      <patternFill patternType="solid">
        <fgColor rgb="FF1F2A44"/>
        <bgColor rgb="FF003366"/>
      </patternFill>
    </fill>
    <fill>
      <patternFill patternType="solid">
        <fgColor rgb="FF32415F"/>
        <bgColor rgb="FF1F2A44"/>
      </patternFill>
    </fill>
    <fill>
      <patternFill patternType="solid">
        <fgColor rgb="FFFFFF00"/>
        <bgColor rgb="FFFFFF00"/>
      </patternFill>
    </fill>
    <fill>
      <patternFill patternType="solid">
        <fgColor rgb="FFDCE6F1"/>
        <bgColor rgb="FFF2F2F2"/>
      </patternFill>
    </fill>
    <fill>
      <patternFill patternType="solid">
        <fgColor rgb="FFC6EFCE"/>
        <bgColor rgb="FFDCE6F1"/>
      </patternFill>
    </fill>
    <fill>
      <patternFill patternType="solid">
        <fgColor rgb="FFFFCCCC"/>
        <bgColor rgb="FFFFF2CC"/>
      </patternFill>
    </fill>
    <fill>
      <patternFill patternType="solid">
        <fgColor rgb="FFF2F2F2"/>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left" vertical="center" textRotation="0" wrapText="false" indent="1"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xf numFmtId="164" fontId="15" fillId="2" borderId="1" xfId="0" applyFont="true" applyBorder="true" applyAlignment="true" applyProtection="false">
      <alignment horizontal="center" vertical="center" textRotation="0" wrapText="false" indent="0" shrinkToFit="false"/>
      <protection locked="true" hidden="false"/>
    </xf>
    <xf numFmtId="165" fontId="16" fillId="4" borderId="0" xfId="0" applyFont="true" applyBorder="false" applyAlignment="true" applyProtection="false">
      <alignment horizontal="general" vertical="bottom" textRotation="0" wrapText="false" indent="0" shrinkToFit="false"/>
      <protection locked="true" hidden="false"/>
    </xf>
    <xf numFmtId="165" fontId="17" fillId="4" borderId="0" xfId="0" applyFont="true" applyBorder="false" applyAlignment="true" applyProtection="false">
      <alignment horizontal="general" vertical="bottom" textRotation="0" wrapText="false" indent="0" shrinkToFit="false"/>
      <protection locked="true" hidden="false"/>
    </xf>
    <xf numFmtId="166" fontId="16" fillId="4"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17" fillId="0" borderId="0" xfId="0" applyFont="true" applyBorder="false" applyAlignment="true" applyProtection="false">
      <alignment horizontal="general" vertical="bottom" textRotation="0" wrapText="false" indent="0" shrinkToFit="false"/>
      <protection locked="true" hidden="false"/>
    </xf>
    <xf numFmtId="167" fontId="16" fillId="4"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8" fontId="17" fillId="4" borderId="0" xfId="0" applyFont="true" applyBorder="false" applyAlignment="true" applyProtection="false">
      <alignment horizontal="general" vertical="bottom" textRotation="0" wrapText="false" indent="0" shrinkToFit="false"/>
      <protection locked="true" hidden="false"/>
    </xf>
    <xf numFmtId="165" fontId="6" fillId="5"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8" fontId="16"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8" fontId="18"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8" fontId="19"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68" fontId="6" fillId="5"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6" fontId="17" fillId="0" borderId="0" xfId="0" applyFont="true" applyBorder="false" applyAlignment="true" applyProtection="false">
      <alignment horizontal="general" vertical="bottom" textRotation="0" wrapText="false" indent="0" shrinkToFit="false"/>
      <protection locked="true" hidden="false"/>
    </xf>
    <xf numFmtId="167" fontId="6" fillId="6" borderId="0" xfId="0" applyFont="true" applyBorder="false" applyAlignment="true" applyProtection="false">
      <alignment horizontal="general" vertical="bottom" textRotation="0" wrapText="false" indent="0" shrinkToFit="false"/>
      <protection locked="true" hidden="false"/>
    </xf>
    <xf numFmtId="167" fontId="17" fillId="0" borderId="0" xfId="0" applyFont="true" applyBorder="false" applyAlignment="true" applyProtection="false">
      <alignment horizontal="general" vertical="bottom" textRotation="0" wrapText="false" indent="0" shrinkToFit="false"/>
      <protection locked="true" hidden="false"/>
    </xf>
    <xf numFmtId="165" fontId="6" fillId="6" borderId="0" xfId="0" applyFont="true" applyBorder="false" applyAlignment="true" applyProtection="false">
      <alignment horizontal="general" vertical="bottom" textRotation="0" wrapText="false" indent="0" shrinkToFit="false"/>
      <protection locked="true" hidden="false"/>
    </xf>
    <xf numFmtId="168" fontId="16" fillId="4"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9" fontId="6" fillId="5" borderId="0" xfId="0" applyFont="true" applyBorder="false" applyAlignment="true" applyProtection="false">
      <alignment horizontal="general" vertical="bottom" textRotation="0" wrapText="false" indent="0" shrinkToFit="false"/>
      <protection locked="true" hidden="false"/>
    </xf>
    <xf numFmtId="167" fontId="6" fillId="5"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5" fontId="15" fillId="2" borderId="0" xfId="0" applyFont="true" applyBorder="false" applyAlignment="true" applyProtection="false">
      <alignment horizontal="center" vertical="bottom" textRotation="0" wrapText="false" indent="0" shrinkToFit="false"/>
      <protection locked="true" hidden="false"/>
    </xf>
    <xf numFmtId="165" fontId="15" fillId="2" borderId="0" xfId="0" applyFont="true" applyBorder="false" applyAlignment="true" applyProtection="false">
      <alignment horizontal="general" vertical="bottom" textRotation="0" wrapText="false" indent="0" shrinkToFit="false"/>
      <protection locked="true" hidden="false"/>
    </xf>
    <xf numFmtId="167" fontId="7" fillId="6"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general" vertical="bottom" textRotation="0" wrapText="false" indent="0" shrinkToFit="false"/>
      <protection locked="true" hidden="false"/>
    </xf>
    <xf numFmtId="167" fontId="6" fillId="7"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bottom" textRotation="0" wrapText="true" indent="0" shrinkToFit="false"/>
      <protection locked="true" hidden="false"/>
    </xf>
    <xf numFmtId="164" fontId="22" fillId="2" borderId="0"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true" applyAlignment="true" applyProtection="false">
      <alignment horizontal="center" vertical="bottom" textRotation="0" wrapText="false" indent="0" shrinkToFit="false"/>
      <protection locked="true" hidden="false"/>
    </xf>
    <xf numFmtId="164" fontId="24" fillId="8" borderId="1" xfId="0" applyFont="true" applyBorder="true" applyAlignment="true" applyProtection="false">
      <alignment horizontal="center" vertical="bottom" textRotation="0" wrapText="false" indent="0" shrinkToFit="false"/>
      <protection locked="true" hidden="false"/>
    </xf>
    <xf numFmtId="167" fontId="25" fillId="9" borderId="1" xfId="0" applyFont="true" applyBorder="true" applyAlignment="true" applyProtection="false">
      <alignment horizontal="center" vertical="bottom" textRotation="0" wrapText="false" indent="0" shrinkToFit="false"/>
      <protection locked="true" hidden="false"/>
    </xf>
    <xf numFmtId="167" fontId="25" fillId="6" borderId="1" xfId="0" applyFont="true" applyBorder="true" applyAlignment="true" applyProtection="false">
      <alignment horizontal="center" vertical="bottom" textRotation="0" wrapText="false" indent="0" shrinkToFit="false"/>
      <protection locked="true" hidden="false"/>
    </xf>
    <xf numFmtId="165" fontId="25" fillId="7" borderId="1" xfId="0" applyFont="true" applyBorder="true" applyAlignment="true" applyProtection="false">
      <alignment horizontal="center" vertical="bottom" textRotation="0" wrapText="false" indent="0" shrinkToFit="false"/>
      <protection locked="true" hidden="false"/>
    </xf>
    <xf numFmtId="165" fontId="25" fillId="5" borderId="1" xfId="0" applyFont="true" applyBorder="true" applyAlignment="true" applyProtection="false">
      <alignment horizontal="center" vertical="bottom" textRotation="0" wrapText="false" indent="0" shrinkToFit="false"/>
      <protection locked="true" hidden="false"/>
    </xf>
    <xf numFmtId="168" fontId="25" fillId="5" borderId="1" xfId="0" applyFont="true" applyBorder="true" applyAlignment="true" applyProtection="false">
      <alignment horizontal="center" vertical="bottom" textRotation="0" wrapText="false" indent="0" shrinkToFit="false"/>
      <protection locked="true" hidden="false"/>
    </xf>
    <xf numFmtId="166" fontId="25" fillId="5"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7" fontId="25" fillId="7" borderId="1" xfId="0" applyFont="true" applyBorder="true" applyAlignment="true" applyProtection="false">
      <alignment horizontal="center" vertical="bottom" textRotation="0" wrapText="false" indent="0" shrinkToFit="false"/>
      <protection locked="true" hidden="false"/>
    </xf>
    <xf numFmtId="167" fontId="25" fillId="5" borderId="1" xfId="0" applyFont="true" applyBorder="true" applyAlignment="true" applyProtection="false">
      <alignment horizontal="center" vertical="bottom" textRotation="0" wrapText="false" indent="0" shrinkToFit="false"/>
      <protection locked="true" hidden="false"/>
    </xf>
    <xf numFmtId="165" fontId="25" fillId="6" borderId="1" xfId="0" applyFont="true" applyBorder="true" applyAlignment="true" applyProtection="false">
      <alignment horizontal="center" vertical="bottom" textRotation="0" wrapText="false" indent="0" shrinkToFit="false"/>
      <protection locked="true" hidden="false"/>
    </xf>
    <xf numFmtId="168" fontId="25" fillId="8" borderId="1" xfId="0" applyFont="true" applyBorder="true" applyAlignment="true" applyProtection="false">
      <alignment horizontal="center" vertical="bottom" textRotation="0" wrapText="false" indent="0" shrinkToFit="false"/>
      <protection locked="true" hidden="false"/>
    </xf>
    <xf numFmtId="165" fontId="25" fillId="8" borderId="1" xfId="0" applyFont="true" applyBorder="true" applyAlignment="true" applyProtection="false">
      <alignment horizontal="center" vertical="bottom" textRotation="0" wrapText="false" indent="0" shrinkToFit="false"/>
      <protection locked="true" hidden="false"/>
    </xf>
    <xf numFmtId="166" fontId="25" fillId="8"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FF99"/>
      <rgbColor rgb="FF99CCFF"/>
      <rgbColor rgb="FFFF99CC"/>
      <rgbColor rgb="FFCC99FF"/>
      <rgbColor rgb="FFFFCCCC"/>
      <rgbColor rgb="FF4472C4"/>
      <rgbColor rgb="FF33CCCC"/>
      <rgbColor rgb="FF99CC00"/>
      <rgbColor rgb="FFFFCC00"/>
      <rgbColor rgb="FFFF8C00"/>
      <rgbColor rgb="FFC55A11"/>
      <rgbColor rgb="FF666699"/>
      <rgbColor rgb="FF70AD47"/>
      <rgbColor rgb="FF003366"/>
      <rgbColor rgb="FF339966"/>
      <rgbColor rgb="FF003300"/>
      <rgbColor rgb="FF333300"/>
      <rgbColor rgb="FF9B2D30"/>
      <rgbColor rgb="FF993366"/>
      <rgbColor rgb="FF32415F"/>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H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8" min="3" style="1" width="20"/>
  </cols>
  <sheetData>
    <row r="2" customFormat="false" ht="39.75" hidden="false" customHeight="true" outlineLevel="0" collapsed="false">
      <c r="B2" s="2" t="s">
        <v>0</v>
      </c>
      <c r="C2" s="2"/>
      <c r="D2" s="2"/>
      <c r="E2" s="2"/>
      <c r="F2" s="2"/>
      <c r="G2" s="2"/>
      <c r="H2" s="2"/>
    </row>
    <row r="3" customFormat="false" ht="25.5" hidden="false" customHeight="true" outlineLevel="0" collapsed="false">
      <c r="B3" s="3" t="s">
        <v>1</v>
      </c>
      <c r="C3" s="3"/>
      <c r="D3" s="3"/>
      <c r="E3" s="3"/>
      <c r="F3" s="3"/>
      <c r="G3" s="3"/>
      <c r="H3" s="3"/>
    </row>
    <row r="6" customFormat="false" ht="15" hidden="false" customHeight="true" outlineLevel="0" collapsed="false">
      <c r="B6" s="4" t="s">
        <v>2</v>
      </c>
      <c r="D6" s="5" t="s">
        <v>3</v>
      </c>
      <c r="E6" s="5"/>
      <c r="F6" s="5"/>
      <c r="G6" s="5"/>
      <c r="H6" s="5"/>
    </row>
    <row r="7" customFormat="false" ht="15" hidden="false" customHeight="true" outlineLevel="0" collapsed="false">
      <c r="B7" s="4" t="s">
        <v>4</v>
      </c>
      <c r="D7" s="5" t="s">
        <v>5</v>
      </c>
      <c r="E7" s="5"/>
      <c r="F7" s="5"/>
      <c r="G7" s="5"/>
      <c r="H7" s="5"/>
    </row>
    <row r="8" customFormat="false" ht="15" hidden="false" customHeight="true" outlineLevel="0" collapsed="false">
      <c r="B8" s="4" t="s">
        <v>6</v>
      </c>
      <c r="D8" s="5" t="s">
        <v>7</v>
      </c>
      <c r="E8" s="5"/>
      <c r="F8" s="5"/>
      <c r="G8" s="5"/>
      <c r="H8" s="5"/>
    </row>
    <row r="9" customFormat="false" ht="15" hidden="false" customHeight="true" outlineLevel="0" collapsed="false">
      <c r="B9" s="4" t="s">
        <v>8</v>
      </c>
      <c r="D9" s="5" t="s">
        <v>9</v>
      </c>
      <c r="E9" s="5"/>
      <c r="F9" s="5"/>
      <c r="G9" s="5"/>
      <c r="H9" s="5"/>
    </row>
    <row r="10" customFormat="false" ht="15" hidden="false" customHeight="true" outlineLevel="0" collapsed="false">
      <c r="B10" s="4" t="s">
        <v>10</v>
      </c>
      <c r="D10" s="5" t="s">
        <v>11</v>
      </c>
      <c r="E10" s="5"/>
      <c r="F10" s="5"/>
      <c r="G10" s="5"/>
      <c r="H10" s="5"/>
    </row>
    <row r="11" customFormat="false" ht="15" hidden="false" customHeight="true" outlineLevel="0" collapsed="false">
      <c r="B11" s="4" t="s">
        <v>12</v>
      </c>
      <c r="D11" s="5" t="s">
        <v>13</v>
      </c>
      <c r="E11" s="5"/>
      <c r="F11" s="5"/>
      <c r="G11" s="5"/>
      <c r="H11" s="5"/>
    </row>
    <row r="12" customFormat="false" ht="15" hidden="false" customHeight="true" outlineLevel="0" collapsed="false">
      <c r="B12" s="4" t="s">
        <v>14</v>
      </c>
      <c r="D12" s="5" t="s">
        <v>15</v>
      </c>
      <c r="E12" s="5"/>
      <c r="F12" s="5"/>
      <c r="G12" s="5"/>
      <c r="H12" s="5"/>
    </row>
    <row r="13" customFormat="false" ht="15" hidden="false" customHeight="true" outlineLevel="0" collapsed="false">
      <c r="B13" s="4" t="s">
        <v>16</v>
      </c>
      <c r="D13" s="5" t="s">
        <v>17</v>
      </c>
      <c r="E13" s="5"/>
      <c r="F13" s="5"/>
      <c r="G13" s="5"/>
      <c r="H13" s="5"/>
    </row>
    <row r="14" customFormat="false" ht="15" hidden="false" customHeight="true" outlineLevel="0" collapsed="false">
      <c r="B14" s="4" t="s">
        <v>18</v>
      </c>
      <c r="D14" s="5" t="s">
        <v>19</v>
      </c>
      <c r="E14" s="5"/>
      <c r="F14" s="5"/>
      <c r="G14" s="5"/>
      <c r="H14" s="5"/>
    </row>
    <row r="16" customFormat="false" ht="15" hidden="false" customHeight="true" outlineLevel="0" collapsed="false">
      <c r="B16" s="6" t="s">
        <v>20</v>
      </c>
      <c r="C16" s="6"/>
      <c r="D16" s="6"/>
      <c r="E16" s="6"/>
      <c r="F16" s="6"/>
      <c r="G16" s="6"/>
      <c r="H16" s="6"/>
    </row>
    <row r="17" customFormat="false" ht="15" hidden="false" customHeight="true" outlineLevel="0" collapsed="false">
      <c r="B17" s="7" t="s">
        <v>21</v>
      </c>
      <c r="C17" s="7"/>
      <c r="D17" s="7"/>
      <c r="E17" s="7"/>
      <c r="F17" s="7"/>
      <c r="G17" s="7"/>
      <c r="H17" s="7"/>
    </row>
    <row r="18" customFormat="false" ht="15" hidden="false" customHeight="true" outlineLevel="0" collapsed="false">
      <c r="B18" s="7"/>
      <c r="C18" s="7"/>
      <c r="D18" s="7"/>
      <c r="E18" s="7"/>
      <c r="F18" s="7"/>
      <c r="G18" s="7"/>
      <c r="H18" s="7"/>
    </row>
    <row r="19" customFormat="false" ht="15" hidden="false" customHeight="true" outlineLevel="0" collapsed="false">
      <c r="B19" s="7"/>
      <c r="C19" s="7"/>
      <c r="D19" s="7"/>
      <c r="E19" s="7"/>
      <c r="F19" s="7"/>
      <c r="G19" s="7"/>
      <c r="H19" s="7"/>
    </row>
    <row r="20" customFormat="false" ht="15" hidden="false" customHeight="true" outlineLevel="0" collapsed="false">
      <c r="B20" s="7"/>
      <c r="C20" s="7"/>
      <c r="D20" s="7"/>
      <c r="E20" s="7"/>
      <c r="F20" s="7"/>
      <c r="G20" s="7"/>
      <c r="H20" s="7"/>
    </row>
    <row r="22" customFormat="false" ht="15" hidden="false" customHeight="true" outlineLevel="0" collapsed="false">
      <c r="B22" s="6" t="s">
        <v>22</v>
      </c>
      <c r="C22" s="6"/>
      <c r="D22" s="6"/>
      <c r="E22" s="6"/>
      <c r="F22" s="6"/>
      <c r="G22" s="6"/>
      <c r="H22" s="6"/>
    </row>
    <row r="23" customFormat="false" ht="27.75" hidden="false" customHeight="true" outlineLevel="0" collapsed="false">
      <c r="B23" s="8" t="s">
        <v>23</v>
      </c>
      <c r="C23" s="8"/>
      <c r="D23" s="8"/>
      <c r="E23" s="8"/>
      <c r="F23" s="8"/>
      <c r="G23" s="8"/>
      <c r="H23" s="8"/>
    </row>
    <row r="24" customFormat="false" ht="27.75" hidden="false" customHeight="true" outlineLevel="0" collapsed="false">
      <c r="B24" s="8" t="s">
        <v>24</v>
      </c>
      <c r="C24" s="8"/>
      <c r="D24" s="8"/>
      <c r="E24" s="8"/>
      <c r="F24" s="8"/>
      <c r="G24" s="8"/>
      <c r="H24" s="8"/>
    </row>
    <row r="25" customFormat="false" ht="27.75" hidden="false" customHeight="true" outlineLevel="0" collapsed="false">
      <c r="B25" s="8" t="s">
        <v>25</v>
      </c>
      <c r="C25" s="8"/>
      <c r="D25" s="8"/>
      <c r="E25" s="8"/>
      <c r="F25" s="8"/>
      <c r="G25" s="8"/>
      <c r="H25" s="8"/>
    </row>
    <row r="26" customFormat="false" ht="27.75" hidden="false" customHeight="true" outlineLevel="0" collapsed="false">
      <c r="B26" s="8" t="s">
        <v>26</v>
      </c>
      <c r="C26" s="8"/>
      <c r="D26" s="8"/>
      <c r="E26" s="8"/>
      <c r="F26" s="8"/>
      <c r="G26" s="8"/>
      <c r="H26" s="8"/>
    </row>
    <row r="27" customFormat="false" ht="27.75" hidden="false" customHeight="true" outlineLevel="0" collapsed="false">
      <c r="B27" s="8" t="s">
        <v>27</v>
      </c>
      <c r="C27" s="8"/>
      <c r="D27" s="8"/>
      <c r="E27" s="8"/>
      <c r="F27" s="8"/>
      <c r="G27" s="8"/>
      <c r="H27" s="8"/>
    </row>
    <row r="28" customFormat="false" ht="27.75" hidden="false" customHeight="true" outlineLevel="0" collapsed="false">
      <c r="B28" s="8" t="s">
        <v>28</v>
      </c>
      <c r="C28" s="8"/>
      <c r="D28" s="8"/>
      <c r="E28" s="8"/>
      <c r="F28" s="8"/>
      <c r="G28" s="8"/>
      <c r="H28" s="8"/>
    </row>
    <row r="30" customFormat="false" ht="15" hidden="false" customHeight="true" outlineLevel="0" collapsed="false">
      <c r="B30" s="6" t="s">
        <v>29</v>
      </c>
      <c r="C30" s="6"/>
      <c r="D30" s="6"/>
      <c r="E30" s="6"/>
      <c r="F30" s="6"/>
      <c r="G30" s="6"/>
      <c r="H30" s="6"/>
    </row>
    <row r="31" customFormat="false" ht="17.25" hidden="false" customHeight="true" outlineLevel="0" collapsed="false">
      <c r="B31" s="9" t="s">
        <v>30</v>
      </c>
      <c r="C31" s="10" t="s">
        <v>31</v>
      </c>
      <c r="D31" s="10"/>
      <c r="E31" s="10"/>
      <c r="F31" s="10"/>
      <c r="G31" s="10"/>
      <c r="H31" s="10"/>
    </row>
    <row r="32" customFormat="false" ht="17.25" hidden="false" customHeight="true" outlineLevel="0" collapsed="false">
      <c r="B32" s="11" t="s">
        <v>30</v>
      </c>
      <c r="C32" s="10" t="s">
        <v>32</v>
      </c>
      <c r="D32" s="10"/>
      <c r="E32" s="10"/>
      <c r="F32" s="10"/>
      <c r="G32" s="10"/>
      <c r="H32" s="10"/>
    </row>
    <row r="33" customFormat="false" ht="17.25" hidden="false" customHeight="true" outlineLevel="0" collapsed="false">
      <c r="B33" s="12" t="s">
        <v>30</v>
      </c>
      <c r="C33" s="10" t="s">
        <v>33</v>
      </c>
      <c r="D33" s="10"/>
      <c r="E33" s="10"/>
      <c r="F33" s="10"/>
      <c r="G33" s="10"/>
      <c r="H33" s="10"/>
    </row>
    <row r="34" customFormat="false" ht="17.25" hidden="false" customHeight="true" outlineLevel="0" collapsed="false">
      <c r="B34" s="13" t="s">
        <v>30</v>
      </c>
      <c r="C34" s="10" t="s">
        <v>34</v>
      </c>
      <c r="D34" s="10"/>
      <c r="E34" s="10"/>
      <c r="F34" s="10"/>
      <c r="G34" s="10"/>
      <c r="H34" s="10"/>
    </row>
    <row r="36" customFormat="false" ht="15" hidden="false" customHeight="true" outlineLevel="0" collapsed="false">
      <c r="B36" s="6" t="s">
        <v>35</v>
      </c>
      <c r="C36" s="6"/>
      <c r="D36" s="6"/>
      <c r="E36" s="6"/>
      <c r="F36" s="6"/>
      <c r="G36" s="6"/>
      <c r="H36" s="6"/>
    </row>
    <row r="37" customFormat="false" ht="15" hidden="false" customHeight="true" outlineLevel="0" collapsed="false">
      <c r="B37" s="14" t="s">
        <v>36</v>
      </c>
    </row>
    <row r="38" customFormat="false" ht="15" hidden="false" customHeight="true" outlineLevel="0" collapsed="false">
      <c r="B38" s="14" t="s">
        <v>37</v>
      </c>
    </row>
    <row r="39" customFormat="false" ht="15" hidden="false" customHeight="true" outlineLevel="0" collapsed="false">
      <c r="B39" s="14" t="s">
        <v>38</v>
      </c>
    </row>
    <row r="40" customFormat="false" ht="15" hidden="false" customHeight="true" outlineLevel="0" collapsed="false">
      <c r="B40" s="14" t="s">
        <v>39</v>
      </c>
    </row>
    <row r="41" customFormat="false" ht="15" hidden="false" customHeight="true" outlineLevel="0" collapsed="false">
      <c r="B41" s="14" t="s">
        <v>40</v>
      </c>
    </row>
    <row r="42" customFormat="false" ht="15" hidden="false" customHeight="true" outlineLevel="0" collapsed="false">
      <c r="B42" s="14" t="s">
        <v>41</v>
      </c>
    </row>
    <row r="43" customFormat="false" ht="15" hidden="false" customHeight="true" outlineLevel="0" collapsed="false">
      <c r="B43" s="14" t="s">
        <v>42</v>
      </c>
    </row>
    <row r="44" customFormat="false" ht="15" hidden="false" customHeight="true" outlineLevel="0" collapsed="false">
      <c r="B44" s="14" t="s">
        <v>43</v>
      </c>
    </row>
    <row r="45" customFormat="false" ht="15" hidden="false" customHeight="true" outlineLevel="0" collapsed="false">
      <c r="B45" s="14" t="s">
        <v>44</v>
      </c>
    </row>
  </sheetData>
  <mergeCells count="26">
    <mergeCell ref="B2:H2"/>
    <mergeCell ref="B3:H3"/>
    <mergeCell ref="D6:H6"/>
    <mergeCell ref="D7:H7"/>
    <mergeCell ref="D8:H8"/>
    <mergeCell ref="D9:H9"/>
    <mergeCell ref="D10:H10"/>
    <mergeCell ref="D11:H11"/>
    <mergeCell ref="D12:H12"/>
    <mergeCell ref="D13:H13"/>
    <mergeCell ref="D14:H14"/>
    <mergeCell ref="B16:H16"/>
    <mergeCell ref="B17:H20"/>
    <mergeCell ref="B22:H22"/>
    <mergeCell ref="B23:H23"/>
    <mergeCell ref="B24:H24"/>
    <mergeCell ref="B25:H25"/>
    <mergeCell ref="B26:H26"/>
    <mergeCell ref="B27:H27"/>
    <mergeCell ref="B28:H28"/>
    <mergeCell ref="B30:H30"/>
    <mergeCell ref="C31:H31"/>
    <mergeCell ref="C32:H32"/>
    <mergeCell ref="C33:H33"/>
    <mergeCell ref="C34:H34"/>
    <mergeCell ref="B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C00"/>
    <pageSetUpPr fitToPage="false"/>
  </sheetPr>
  <dimension ref="A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7" min="2" style="1" width="14"/>
  </cols>
  <sheetData>
    <row r="1" customFormat="false" ht="25.5" hidden="false" customHeight="true" outlineLevel="0" collapsed="false">
      <c r="A1" s="15" t="s">
        <v>45</v>
      </c>
      <c r="B1" s="15"/>
      <c r="C1" s="15"/>
      <c r="D1" s="15"/>
      <c r="E1" s="15"/>
      <c r="F1" s="15"/>
      <c r="G1" s="15"/>
    </row>
    <row r="2" customFormat="false" ht="25.5" hidden="false" customHeight="true" outlineLevel="0" collapsed="false">
      <c r="A2" s="16" t="s">
        <v>46</v>
      </c>
      <c r="B2" s="16"/>
      <c r="C2" s="16"/>
      <c r="D2" s="16"/>
      <c r="E2" s="16"/>
      <c r="F2" s="16"/>
      <c r="G2" s="16"/>
    </row>
    <row r="4" customFormat="false" ht="15" hidden="false" customHeight="true" outlineLevel="0" collapsed="false">
      <c r="A4" s="6" t="s">
        <v>47</v>
      </c>
      <c r="B4" s="6"/>
      <c r="C4" s="6"/>
      <c r="D4" s="6"/>
      <c r="E4" s="6"/>
      <c r="F4" s="6"/>
      <c r="G4" s="6"/>
    </row>
    <row r="5" customFormat="false" ht="15" hidden="false" customHeight="true" outlineLevel="0" collapsed="false">
      <c r="A5" s="17" t="s">
        <v>48</v>
      </c>
      <c r="B5" s="17" t="s">
        <v>49</v>
      </c>
      <c r="C5" s="17" t="s">
        <v>50</v>
      </c>
      <c r="D5" s="17" t="s">
        <v>51</v>
      </c>
      <c r="E5" s="17" t="s">
        <v>52</v>
      </c>
      <c r="F5" s="17" t="s">
        <v>53</v>
      </c>
    </row>
    <row r="6" customFormat="false" ht="15" hidden="false" customHeight="true" outlineLevel="0" collapsed="false">
      <c r="A6" s="14" t="s">
        <v>54</v>
      </c>
      <c r="B6" s="18" t="n">
        <v>0.08</v>
      </c>
      <c r="C6" s="18" t="n">
        <v>0.08</v>
      </c>
      <c r="D6" s="18" t="n">
        <v>0.07</v>
      </c>
      <c r="E6" s="18" t="n">
        <v>0.07</v>
      </c>
      <c r="F6" s="18" t="n">
        <v>0.06</v>
      </c>
    </row>
    <row r="7" customFormat="false" ht="15" hidden="false" customHeight="true" outlineLevel="0" collapsed="false">
      <c r="A7" s="14" t="s">
        <v>55</v>
      </c>
      <c r="B7" s="18" t="n">
        <v>0.24</v>
      </c>
      <c r="C7" s="18" t="n">
        <v>0.24</v>
      </c>
      <c r="D7" s="18" t="n">
        <v>0.245</v>
      </c>
      <c r="E7" s="18" t="n">
        <v>0.245</v>
      </c>
      <c r="F7" s="18" t="n">
        <v>0.25</v>
      </c>
    </row>
    <row r="8" customFormat="false" ht="15" hidden="false" customHeight="true" outlineLevel="0" collapsed="false">
      <c r="A8" s="14" t="s">
        <v>56</v>
      </c>
      <c r="B8" s="19" t="n">
        <f aca="false">03_Historical!$N$19</f>
        <v>0.0284756768071512</v>
      </c>
      <c r="C8" s="19" t="n">
        <f aca="false">03_Historical!$N$19</f>
        <v>0.0284756768071512</v>
      </c>
      <c r="D8" s="19" t="n">
        <f aca="false">03_Historical!$N$19</f>
        <v>0.0284756768071512</v>
      </c>
      <c r="E8" s="19" t="n">
        <f aca="false">03_Historical!$N$19</f>
        <v>0.0284756768071512</v>
      </c>
      <c r="F8" s="19" t="n">
        <f aca="false">03_Historical!$N$19</f>
        <v>0.0284756768071512</v>
      </c>
    </row>
    <row r="9" customFormat="false" ht="15" hidden="false" customHeight="true" outlineLevel="0" collapsed="false">
      <c r="A9" s="14" t="s">
        <v>57</v>
      </c>
      <c r="B9" s="18" t="n">
        <v>0.039</v>
      </c>
      <c r="C9" s="18" t="n">
        <v>0.039</v>
      </c>
      <c r="D9" s="18" t="n">
        <v>0.039</v>
      </c>
      <c r="E9" s="18" t="n">
        <v>0.039</v>
      </c>
      <c r="F9" s="18" t="n">
        <v>0.039</v>
      </c>
    </row>
    <row r="10" customFormat="false" ht="15" hidden="false" customHeight="true" outlineLevel="0" collapsed="false">
      <c r="A10" s="14" t="s">
        <v>58</v>
      </c>
      <c r="B10" s="18" t="n">
        <v>0.28</v>
      </c>
      <c r="C10" s="18" t="n">
        <v>0.28</v>
      </c>
      <c r="D10" s="18" t="n">
        <v>0.28</v>
      </c>
      <c r="E10" s="18" t="n">
        <v>0.28</v>
      </c>
      <c r="F10" s="18" t="n">
        <v>0.28</v>
      </c>
    </row>
    <row r="11" customFormat="false" ht="15" hidden="false" customHeight="true" outlineLevel="0" collapsed="false">
      <c r="A11" s="14" t="s">
        <v>59</v>
      </c>
      <c r="B11" s="19" t="n">
        <f aca="false">03_Historical!$N$18</f>
        <v>0.263536516461523</v>
      </c>
      <c r="C11" s="19" t="n">
        <f aca="false">03_Historical!$N$18</f>
        <v>0.263536516461523</v>
      </c>
      <c r="D11" s="19" t="n">
        <f aca="false">03_Historical!$N$18</f>
        <v>0.263536516461523</v>
      </c>
      <c r="E11" s="19" t="n">
        <f aca="false">03_Historical!$N$18</f>
        <v>0.263536516461523</v>
      </c>
      <c r="F11" s="19" t="n">
        <f aca="false">03_Historical!$N$18</f>
        <v>0.263536516461523</v>
      </c>
    </row>
    <row r="12" customFormat="false" ht="15" hidden="false" customHeight="true" outlineLevel="0" collapsed="false">
      <c r="A12" s="14" t="s">
        <v>60</v>
      </c>
      <c r="B12" s="18" t="n">
        <v>0.051</v>
      </c>
      <c r="C12" s="18" t="n">
        <v>0.051</v>
      </c>
      <c r="D12" s="18" t="n">
        <v>0.051</v>
      </c>
      <c r="E12" s="18" t="n">
        <v>0.051</v>
      </c>
      <c r="F12" s="18" t="n">
        <v>0.051</v>
      </c>
    </row>
    <row r="13" customFormat="false" ht="15" hidden="false" customHeight="true" outlineLevel="0" collapsed="false">
      <c r="A13" s="14" t="s">
        <v>61</v>
      </c>
      <c r="B13" s="18" t="n">
        <v>0.042</v>
      </c>
      <c r="C13" s="18" t="n">
        <v>0.042</v>
      </c>
      <c r="D13" s="18" t="n">
        <v>0.042</v>
      </c>
      <c r="E13" s="18" t="n">
        <v>0.042</v>
      </c>
      <c r="F13" s="18" t="n">
        <v>0.042</v>
      </c>
    </row>
    <row r="14" customFormat="false" ht="15" hidden="false" customHeight="true" outlineLevel="0" collapsed="false">
      <c r="A14" s="14" t="s">
        <v>62</v>
      </c>
      <c r="B14" s="18" t="n">
        <v>0.6</v>
      </c>
      <c r="C14" s="18" t="n">
        <v>0.6</v>
      </c>
      <c r="D14" s="18" t="n">
        <v>0.6</v>
      </c>
      <c r="E14" s="18" t="n">
        <v>0.6</v>
      </c>
      <c r="F14" s="18" t="n">
        <v>0.6</v>
      </c>
    </row>
    <row r="16" customFormat="false" ht="25.5" hidden="false" customHeight="true" outlineLevel="0" collapsed="false">
      <c r="A16" s="16" t="s">
        <v>63</v>
      </c>
      <c r="B16" s="16"/>
      <c r="C16" s="16"/>
      <c r="D16" s="16"/>
      <c r="E16" s="16"/>
      <c r="F16" s="16"/>
      <c r="G16" s="16"/>
    </row>
    <row r="17" customFormat="false" ht="25.5" hidden="false" customHeight="true" outlineLevel="0" collapsed="false">
      <c r="A17" s="16" t="s">
        <v>64</v>
      </c>
      <c r="B17" s="16"/>
      <c r="C17" s="16"/>
      <c r="D17" s="16"/>
      <c r="E17" s="16"/>
      <c r="F17" s="16"/>
      <c r="G17" s="16"/>
    </row>
    <row r="18" customFormat="false" ht="25.5" hidden="false" customHeight="true" outlineLevel="0" collapsed="false">
      <c r="A18" s="16" t="s">
        <v>65</v>
      </c>
      <c r="B18" s="16"/>
      <c r="C18" s="16"/>
      <c r="D18" s="16"/>
      <c r="E18" s="16"/>
      <c r="F18" s="16"/>
      <c r="G18" s="16"/>
    </row>
    <row r="19" customFormat="false" ht="25.5" hidden="false" customHeight="true" outlineLevel="0" collapsed="false">
      <c r="A19" s="16" t="s">
        <v>66</v>
      </c>
      <c r="B19" s="16"/>
      <c r="C19" s="16"/>
      <c r="D19" s="16"/>
      <c r="E19" s="16"/>
      <c r="F19" s="16"/>
      <c r="G19" s="16"/>
    </row>
    <row r="20" customFormat="false" ht="25.5" hidden="false" customHeight="true" outlineLevel="0" collapsed="false">
      <c r="A20" s="16" t="s">
        <v>67</v>
      </c>
      <c r="B20" s="16"/>
      <c r="C20" s="16"/>
      <c r="D20" s="16"/>
      <c r="E20" s="16"/>
      <c r="F20" s="16"/>
      <c r="G20" s="16"/>
    </row>
    <row r="22" customFormat="false" ht="15" hidden="false" customHeight="true" outlineLevel="0" collapsed="false">
      <c r="A22" s="6" t="s">
        <v>68</v>
      </c>
      <c r="B22" s="6"/>
      <c r="C22" s="6"/>
      <c r="D22" s="6"/>
      <c r="E22" s="6"/>
      <c r="F22" s="6"/>
      <c r="G22" s="6"/>
    </row>
    <row r="23" customFormat="false" ht="15" hidden="false" customHeight="true" outlineLevel="0" collapsed="false">
      <c r="A23" s="17" t="s">
        <v>69</v>
      </c>
      <c r="B23" s="17" t="s">
        <v>70</v>
      </c>
      <c r="C23" s="17" t="s">
        <v>71</v>
      </c>
    </row>
    <row r="24" customFormat="false" ht="15" hidden="false" customHeight="true" outlineLevel="0" collapsed="false">
      <c r="A24" s="14" t="s">
        <v>72</v>
      </c>
      <c r="B24" s="18" t="n">
        <v>0.068</v>
      </c>
      <c r="C24" s="16" t="s">
        <v>73</v>
      </c>
      <c r="D24" s="16"/>
      <c r="E24" s="16"/>
      <c r="F24" s="16"/>
      <c r="G24" s="16"/>
    </row>
    <row r="25" customFormat="false" ht="21.75" hidden="false" customHeight="true" outlineLevel="0" collapsed="false">
      <c r="A25" s="14" t="s">
        <v>74</v>
      </c>
      <c r="B25" s="18" t="n">
        <v>0.065</v>
      </c>
      <c r="C25" s="16" t="s">
        <v>75</v>
      </c>
      <c r="D25" s="16"/>
      <c r="E25" s="16"/>
      <c r="F25" s="16"/>
      <c r="G25" s="16"/>
    </row>
    <row r="26" customFormat="false" ht="21.75" hidden="false" customHeight="true" outlineLevel="0" collapsed="false">
      <c r="A26" s="14" t="s">
        <v>76</v>
      </c>
      <c r="B26" s="20" t="n">
        <v>0.85</v>
      </c>
      <c r="C26" s="16" t="s">
        <v>77</v>
      </c>
      <c r="D26" s="16"/>
      <c r="E26" s="16"/>
      <c r="F26" s="16"/>
      <c r="G26" s="16"/>
    </row>
    <row r="27" customFormat="false" ht="15" hidden="false" customHeight="true" outlineLevel="0" collapsed="false">
      <c r="A27" s="14" t="s">
        <v>78</v>
      </c>
      <c r="B27" s="21" t="n">
        <f aca="false">B24+B26*B25</f>
        <v>0.12325</v>
      </c>
    </row>
    <row r="28" customFormat="false" ht="32.25" hidden="false" customHeight="true" outlineLevel="0" collapsed="false">
      <c r="A28" s="14" t="s">
        <v>79</v>
      </c>
      <c r="B28" s="18" t="n">
        <v>0.075</v>
      </c>
      <c r="C28" s="16" t="s">
        <v>80</v>
      </c>
      <c r="D28" s="16"/>
      <c r="E28" s="16"/>
      <c r="F28" s="16"/>
      <c r="G28" s="16"/>
    </row>
    <row r="29" customFormat="false" ht="15" hidden="false" customHeight="true" outlineLevel="0" collapsed="false">
      <c r="A29" s="14" t="s">
        <v>81</v>
      </c>
      <c r="B29" s="22" t="n">
        <f aca="false">03_Historical!$N$18</f>
        <v>0.263536516461523</v>
      </c>
    </row>
    <row r="30" customFormat="false" ht="15" hidden="false" customHeight="true" outlineLevel="0" collapsed="false">
      <c r="A30" s="14" t="s">
        <v>82</v>
      </c>
      <c r="B30" s="21" t="n">
        <f aca="false">B28*(1-B29)</f>
        <v>0.0552347612653858</v>
      </c>
    </row>
    <row r="31" customFormat="false" ht="21.75" hidden="false" customHeight="true" outlineLevel="0" collapsed="false">
      <c r="A31" s="14" t="s">
        <v>83</v>
      </c>
      <c r="B31" s="23" t="n">
        <v>1190.7</v>
      </c>
      <c r="C31" s="16" t="s">
        <v>84</v>
      </c>
      <c r="D31" s="16"/>
      <c r="E31" s="16"/>
      <c r="F31" s="16"/>
      <c r="G31" s="16"/>
    </row>
    <row r="32" customFormat="false" ht="21.75" hidden="false" customHeight="true" outlineLevel="0" collapsed="false">
      <c r="A32" s="14" t="s">
        <v>85</v>
      </c>
      <c r="B32" s="20" t="n">
        <v>405.9</v>
      </c>
      <c r="C32" s="16" t="s">
        <v>86</v>
      </c>
      <c r="D32" s="16"/>
      <c r="E32" s="16"/>
      <c r="F32" s="16"/>
      <c r="G32" s="16"/>
    </row>
    <row r="33" customFormat="false" ht="15" hidden="false" customHeight="true" outlineLevel="0" collapsed="false">
      <c r="A33" s="14" t="s">
        <v>87</v>
      </c>
      <c r="B33" s="24" t="n">
        <f aca="false">B31*B32</f>
        <v>483305.13</v>
      </c>
    </row>
    <row r="34" customFormat="false" ht="15" hidden="false" customHeight="true" outlineLevel="0" collapsed="false">
      <c r="A34" s="14" t="s">
        <v>88</v>
      </c>
      <c r="B34" s="25" t="n">
        <f aca="false">03_Historical!K27</f>
        <v>9176</v>
      </c>
      <c r="C34" s="16" t="s">
        <v>89</v>
      </c>
      <c r="D34" s="16"/>
      <c r="E34" s="16"/>
      <c r="F34" s="16"/>
      <c r="G34" s="16"/>
    </row>
    <row r="35" customFormat="false" ht="15" hidden="false" customHeight="true" outlineLevel="0" collapsed="false">
      <c r="A35" s="14" t="s">
        <v>90</v>
      </c>
      <c r="B35" s="25" t="n">
        <f aca="false">03_Historical!K32</f>
        <v>21880</v>
      </c>
      <c r="C35" s="16" t="s">
        <v>91</v>
      </c>
      <c r="D35" s="16"/>
      <c r="E35" s="16"/>
      <c r="F35" s="16"/>
      <c r="G35" s="16"/>
    </row>
    <row r="36" customFormat="false" ht="15" hidden="false" customHeight="true" outlineLevel="0" collapsed="false">
      <c r="A36" s="14" t="s">
        <v>92</v>
      </c>
      <c r="B36" s="21" t="n">
        <f aca="false">B33/(B33+B34)</f>
        <v>0.981367814031778</v>
      </c>
    </row>
    <row r="37" customFormat="false" ht="15" hidden="false" customHeight="true" outlineLevel="0" collapsed="false">
      <c r="A37" s="14" t="s">
        <v>93</v>
      </c>
      <c r="B37" s="21" t="n">
        <f aca="false">B34/(B33+B34)</f>
        <v>0.0186321859682218</v>
      </c>
    </row>
    <row r="38" customFormat="false" ht="15" hidden="false" customHeight="true" outlineLevel="0" collapsed="false">
      <c r="A38" s="4" t="s">
        <v>94</v>
      </c>
      <c r="B38" s="26" t="n">
        <f aca="false">B36*B27+B37*B30</f>
        <v>0.121982727423224</v>
      </c>
    </row>
    <row r="39" customFormat="false" ht="21.75" hidden="false" customHeight="true" outlineLevel="0" collapsed="false">
      <c r="A39" s="14" t="s">
        <v>95</v>
      </c>
      <c r="B39" s="18" t="n">
        <v>0.04</v>
      </c>
      <c r="C39" s="16" t="s">
        <v>96</v>
      </c>
      <c r="D39" s="16"/>
      <c r="E39" s="16"/>
      <c r="F39" s="16"/>
      <c r="G39" s="16"/>
    </row>
  </sheetData>
  <mergeCells count="18">
    <mergeCell ref="A1:G1"/>
    <mergeCell ref="A2:G2"/>
    <mergeCell ref="A4:G4"/>
    <mergeCell ref="A16:G16"/>
    <mergeCell ref="A17:G17"/>
    <mergeCell ref="A18:G18"/>
    <mergeCell ref="A19:G19"/>
    <mergeCell ref="A20:G20"/>
    <mergeCell ref="A22:G22"/>
    <mergeCell ref="C24:G24"/>
    <mergeCell ref="C25:G25"/>
    <mergeCell ref="C26:G26"/>
    <mergeCell ref="C28:G28"/>
    <mergeCell ref="C31:G31"/>
    <mergeCell ref="C32:G32"/>
    <mergeCell ref="C34:G34"/>
    <mergeCell ref="C35:G35"/>
    <mergeCell ref="C39:G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N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11" min="2" style="1" width="11"/>
    <col collapsed="false" customWidth="true" hidden="false" outlineLevel="0" max="13" min="12" style="1" width="3"/>
    <col collapsed="false" customWidth="true" hidden="false" outlineLevel="0" max="14" min="14" style="1" width="13"/>
  </cols>
  <sheetData>
    <row r="1" customFormat="false" ht="24" hidden="false" customHeight="true" outlineLevel="0" collapsed="false">
      <c r="A1" s="15" t="s">
        <v>97</v>
      </c>
      <c r="B1" s="15"/>
      <c r="C1" s="15"/>
      <c r="D1" s="15"/>
      <c r="E1" s="15"/>
      <c r="F1" s="15"/>
      <c r="G1" s="15"/>
      <c r="H1" s="15"/>
      <c r="I1" s="15"/>
      <c r="J1" s="15"/>
      <c r="K1" s="15"/>
      <c r="L1" s="15"/>
      <c r="M1" s="15"/>
      <c r="N1" s="15"/>
    </row>
    <row r="2" customFormat="false" ht="15" hidden="false" customHeight="true" outlineLevel="0" collapsed="false">
      <c r="A2" s="27" t="s">
        <v>98</v>
      </c>
      <c r="B2" s="27"/>
      <c r="C2" s="27"/>
      <c r="D2" s="27"/>
      <c r="E2" s="27"/>
      <c r="F2" s="27"/>
      <c r="G2" s="27"/>
      <c r="H2" s="27"/>
      <c r="I2" s="27"/>
      <c r="J2" s="27"/>
      <c r="K2" s="27"/>
      <c r="L2" s="27"/>
      <c r="M2" s="27"/>
      <c r="N2" s="27"/>
    </row>
    <row r="3" customFormat="false" ht="15" hidden="false" customHeight="true" outlineLevel="0" collapsed="false">
      <c r="A3" s="17" t="s">
        <v>99</v>
      </c>
      <c r="B3" s="17" t="s">
        <v>100</v>
      </c>
      <c r="C3" s="17" t="s">
        <v>101</v>
      </c>
      <c r="D3" s="17" t="s">
        <v>102</v>
      </c>
      <c r="E3" s="17" t="s">
        <v>103</v>
      </c>
      <c r="F3" s="17" t="s">
        <v>104</v>
      </c>
      <c r="G3" s="17" t="s">
        <v>105</v>
      </c>
      <c r="H3" s="17" t="s">
        <v>106</v>
      </c>
      <c r="I3" s="17" t="s">
        <v>107</v>
      </c>
      <c r="J3" s="17" t="s">
        <v>108</v>
      </c>
      <c r="K3" s="17" t="s">
        <v>109</v>
      </c>
      <c r="L3" s="17"/>
      <c r="M3" s="17"/>
      <c r="N3" s="17" t="s">
        <v>110</v>
      </c>
    </row>
    <row r="5" customFormat="false" ht="15" hidden="false" customHeight="true" outlineLevel="0" collapsed="false">
      <c r="A5" s="6" t="s">
        <v>111</v>
      </c>
      <c r="B5" s="6"/>
      <c r="C5" s="6"/>
      <c r="D5" s="6"/>
      <c r="E5" s="6"/>
      <c r="F5" s="6"/>
      <c r="G5" s="6"/>
      <c r="H5" s="6"/>
      <c r="I5" s="6"/>
      <c r="J5" s="6"/>
      <c r="K5" s="6"/>
      <c r="L5" s="6"/>
      <c r="M5" s="6"/>
    </row>
    <row r="6" customFormat="false" ht="15" hidden="false" customHeight="true" outlineLevel="0" collapsed="false">
      <c r="A6" s="14" t="s">
        <v>112</v>
      </c>
      <c r="B6" s="28" t="n">
        <v>68484</v>
      </c>
      <c r="C6" s="28" t="n">
        <v>70522</v>
      </c>
      <c r="D6" s="28" t="n">
        <v>82675</v>
      </c>
      <c r="E6" s="28" t="n">
        <v>90791</v>
      </c>
      <c r="F6" s="28" t="n">
        <v>100472</v>
      </c>
      <c r="G6" s="28" t="n">
        <v>121641</v>
      </c>
      <c r="H6" s="28" t="n">
        <v>146767</v>
      </c>
      <c r="I6" s="28" t="n">
        <v>153670</v>
      </c>
      <c r="J6" s="28" t="n">
        <v>162990</v>
      </c>
      <c r="K6" s="28" t="n">
        <v>178650</v>
      </c>
    </row>
    <row r="7" customFormat="false" ht="15" hidden="false" customHeight="true" outlineLevel="0" collapsed="false">
      <c r="A7" s="14" t="s">
        <v>113</v>
      </c>
      <c r="B7" s="28" t="n">
        <v>49880</v>
      </c>
      <c r="C7" s="28" t="n">
        <v>51700</v>
      </c>
      <c r="D7" s="28" t="n">
        <v>62505</v>
      </c>
      <c r="E7" s="28" t="n">
        <v>68524</v>
      </c>
      <c r="F7" s="28" t="n">
        <v>72583</v>
      </c>
      <c r="G7" s="28" t="n">
        <v>90150</v>
      </c>
      <c r="H7" s="28" t="n">
        <v>111637</v>
      </c>
      <c r="I7" s="28" t="n">
        <v>117245</v>
      </c>
      <c r="J7" s="28" t="n">
        <v>123754</v>
      </c>
      <c r="K7" s="28" t="n">
        <v>136370</v>
      </c>
    </row>
    <row r="8" customFormat="false" ht="15" hidden="false" customHeight="true" outlineLevel="0" collapsed="false">
      <c r="A8" s="4" t="s">
        <v>114</v>
      </c>
      <c r="B8" s="29" t="n">
        <f aca="false">B6-B7</f>
        <v>18604</v>
      </c>
      <c r="C8" s="29" t="n">
        <f aca="false">C6-C7</f>
        <v>18822</v>
      </c>
      <c r="D8" s="29" t="n">
        <f aca="false">D6-D7</f>
        <v>20170</v>
      </c>
      <c r="E8" s="29" t="n">
        <f aca="false">E6-E7</f>
        <v>22267</v>
      </c>
      <c r="F8" s="29" t="n">
        <f aca="false">F6-F7</f>
        <v>27889</v>
      </c>
      <c r="G8" s="29" t="n">
        <f aca="false">G6-G7</f>
        <v>31491</v>
      </c>
      <c r="H8" s="29" t="n">
        <f aca="false">H6-H7</f>
        <v>35130</v>
      </c>
      <c r="I8" s="29" t="n">
        <f aca="false">I6-I7</f>
        <v>36425</v>
      </c>
      <c r="J8" s="29" t="n">
        <f aca="false">J6-J7</f>
        <v>39236</v>
      </c>
      <c r="K8" s="29" t="n">
        <f aca="false">K6-K7</f>
        <v>42280</v>
      </c>
    </row>
    <row r="9" customFormat="false" ht="15" hidden="false" customHeight="true" outlineLevel="0" collapsed="false">
      <c r="A9" s="14" t="s">
        <v>115</v>
      </c>
      <c r="B9" s="28" t="n">
        <v>3050</v>
      </c>
      <c r="C9" s="28" t="n">
        <v>3311</v>
      </c>
      <c r="D9" s="28" t="n">
        <v>2882</v>
      </c>
      <c r="E9" s="28" t="n">
        <v>2803</v>
      </c>
      <c r="F9" s="28" t="n">
        <v>2201</v>
      </c>
      <c r="G9" s="28" t="n">
        <v>2295</v>
      </c>
      <c r="H9" s="28" t="n">
        <v>2701</v>
      </c>
      <c r="I9" s="28" t="n">
        <v>4711</v>
      </c>
      <c r="J9" s="28" t="n">
        <v>3600</v>
      </c>
      <c r="K9" s="28" t="n">
        <v>3033</v>
      </c>
    </row>
    <row r="10" customFormat="false" ht="15" hidden="false" customHeight="true" outlineLevel="0" collapsed="false">
      <c r="A10" s="14" t="s">
        <v>116</v>
      </c>
      <c r="B10" s="28" t="n">
        <v>1703</v>
      </c>
      <c r="C10" s="28" t="n">
        <v>1863</v>
      </c>
      <c r="D10" s="28" t="n">
        <v>2011</v>
      </c>
      <c r="E10" s="28" t="n">
        <v>2893</v>
      </c>
      <c r="F10" s="28" t="n">
        <v>3267</v>
      </c>
      <c r="G10" s="28" t="n">
        <v>3476</v>
      </c>
      <c r="H10" s="28" t="n">
        <v>4225</v>
      </c>
      <c r="I10" s="28" t="n">
        <v>4678</v>
      </c>
      <c r="J10" s="28" t="n">
        <v>4812</v>
      </c>
      <c r="K10" s="28" t="n">
        <v>4902</v>
      </c>
    </row>
    <row r="11" customFormat="false" ht="15" hidden="false" customHeight="true" outlineLevel="0" collapsed="false">
      <c r="A11" s="14" t="s">
        <v>117</v>
      </c>
      <c r="B11" s="28" t="n">
        <v>0</v>
      </c>
      <c r="C11" s="28" t="n">
        <v>0</v>
      </c>
      <c r="D11" s="28" t="n">
        <v>0</v>
      </c>
      <c r="E11" s="28" t="n">
        <v>170</v>
      </c>
      <c r="F11" s="28" t="n">
        <v>195</v>
      </c>
      <c r="G11" s="28" t="n">
        <v>200</v>
      </c>
      <c r="H11" s="28" t="n">
        <v>284</v>
      </c>
      <c r="I11" s="28" t="n">
        <v>470</v>
      </c>
      <c r="J11" s="28" t="n">
        <v>416</v>
      </c>
      <c r="K11" s="28" t="n">
        <v>416</v>
      </c>
    </row>
    <row r="12" customFormat="false" ht="15" hidden="false" customHeight="true" outlineLevel="0" collapsed="false">
      <c r="A12" s="14" t="s">
        <v>118</v>
      </c>
      <c r="B12" s="24" t="n">
        <f aca="false">B8-B10</f>
        <v>16901</v>
      </c>
      <c r="C12" s="24" t="n">
        <f aca="false">C8-C10</f>
        <v>16959</v>
      </c>
      <c r="D12" s="24" t="n">
        <f aca="false">D8-D10</f>
        <v>18159</v>
      </c>
      <c r="E12" s="24" t="n">
        <f aca="false">E8-E10</f>
        <v>19374</v>
      </c>
      <c r="F12" s="24" t="n">
        <f aca="false">F8-F10</f>
        <v>24622</v>
      </c>
      <c r="G12" s="24" t="n">
        <f aca="false">G8-G10</f>
        <v>28015</v>
      </c>
      <c r="H12" s="24" t="n">
        <f aca="false">H8-H10</f>
        <v>30905</v>
      </c>
      <c r="I12" s="24" t="n">
        <f aca="false">I8-I10</f>
        <v>31747</v>
      </c>
      <c r="J12" s="24" t="n">
        <f aca="false">J8-J10</f>
        <v>34424</v>
      </c>
      <c r="K12" s="24" t="n">
        <f aca="false">K8-K10</f>
        <v>37378</v>
      </c>
    </row>
    <row r="13" customFormat="false" ht="15" hidden="false" customHeight="true" outlineLevel="0" collapsed="false">
      <c r="A13" s="4" t="s">
        <v>119</v>
      </c>
      <c r="B13" s="29" t="n">
        <f aca="false">B8+B9-B10-B11</f>
        <v>19951</v>
      </c>
      <c r="C13" s="29" t="n">
        <f aca="false">C8+C9-C10-C11</f>
        <v>20270</v>
      </c>
      <c r="D13" s="29" t="n">
        <f aca="false">D8+D9-D10-D11</f>
        <v>21041</v>
      </c>
      <c r="E13" s="29" t="n">
        <f aca="false">E8+E9-E10-E11</f>
        <v>22007</v>
      </c>
      <c r="F13" s="29" t="n">
        <f aca="false">F8+F9-F10-F11</f>
        <v>26628</v>
      </c>
      <c r="G13" s="29" t="n">
        <f aca="false">G8+G9-G10-G11</f>
        <v>30110</v>
      </c>
      <c r="H13" s="29" t="n">
        <f aca="false">H8+H9-H10-H11</f>
        <v>33322</v>
      </c>
      <c r="I13" s="29" t="n">
        <f aca="false">I8+I9-I10-I11</f>
        <v>35988</v>
      </c>
      <c r="J13" s="29" t="n">
        <f aca="false">J8+J9-J10-J11</f>
        <v>37608</v>
      </c>
      <c r="K13" s="29" t="n">
        <f aca="false">K8+K9-K10-K11</f>
        <v>39995</v>
      </c>
    </row>
    <row r="14" customFormat="false" ht="15" hidden="false" customHeight="true" outlineLevel="0" collapsed="false">
      <c r="A14" s="14" t="s">
        <v>120</v>
      </c>
      <c r="B14" s="28" t="n">
        <v>5598</v>
      </c>
      <c r="C14" s="28" t="n">
        <v>4241</v>
      </c>
      <c r="D14" s="28" t="n">
        <v>5631</v>
      </c>
      <c r="E14" s="28" t="n">
        <v>5368</v>
      </c>
      <c r="F14" s="28" t="n">
        <v>7205</v>
      </c>
      <c r="G14" s="28" t="n">
        <v>7964</v>
      </c>
      <c r="H14" s="28" t="n">
        <v>9214</v>
      </c>
      <c r="I14" s="28" t="n">
        <v>9740</v>
      </c>
      <c r="J14" s="28" t="n">
        <v>10858</v>
      </c>
      <c r="K14" s="28" t="n">
        <v>10521</v>
      </c>
    </row>
    <row r="15" customFormat="false" ht="15" hidden="false" customHeight="true" outlineLevel="0" collapsed="false">
      <c r="A15" s="4" t="s">
        <v>121</v>
      </c>
      <c r="B15" s="29" t="n">
        <f aca="false">B13-B14</f>
        <v>14353</v>
      </c>
      <c r="C15" s="29" t="n">
        <f aca="false">C13-C14</f>
        <v>16029</v>
      </c>
      <c r="D15" s="29" t="n">
        <f aca="false">D13-D14</f>
        <v>15410</v>
      </c>
      <c r="E15" s="29" t="n">
        <f aca="false">E13-E14</f>
        <v>16639</v>
      </c>
      <c r="F15" s="29" t="n">
        <f aca="false">F13-F14</f>
        <v>19423</v>
      </c>
      <c r="G15" s="29" t="n">
        <f aca="false">G13-G14</f>
        <v>22146</v>
      </c>
      <c r="H15" s="29" t="n">
        <f aca="false">H13-H14</f>
        <v>24108</v>
      </c>
      <c r="I15" s="29" t="n">
        <f aca="false">I13-I14</f>
        <v>26248</v>
      </c>
      <c r="J15" s="29" t="n">
        <f aca="false">J13-J14</f>
        <v>26750</v>
      </c>
      <c r="K15" s="29" t="n">
        <f aca="false">K13-K14</f>
        <v>29474</v>
      </c>
    </row>
    <row r="16" customFormat="false" ht="15" hidden="false" customHeight="true" outlineLevel="0" collapsed="false">
      <c r="A16" s="14" t="s">
        <v>122</v>
      </c>
      <c r="B16" s="30" t="n">
        <v>31.24</v>
      </c>
      <c r="C16" s="30" t="n">
        <v>36.69</v>
      </c>
      <c r="D16" s="30" t="n">
        <v>35.26</v>
      </c>
      <c r="E16" s="30" t="n">
        <v>38.96</v>
      </c>
      <c r="F16" s="30" t="n">
        <v>45.42</v>
      </c>
      <c r="G16" s="30" t="n">
        <v>52.56</v>
      </c>
      <c r="H16" s="30" t="n">
        <v>58.08</v>
      </c>
      <c r="I16" s="30" t="n">
        <v>63.2</v>
      </c>
      <c r="J16" s="30" t="n">
        <v>64.32</v>
      </c>
      <c r="K16" s="30" t="n">
        <v>72.59</v>
      </c>
    </row>
    <row r="17" customFormat="false" ht="15" hidden="false" customHeight="true" outlineLevel="0" collapsed="false">
      <c r="A17" s="14" t="s">
        <v>123</v>
      </c>
      <c r="B17" s="30" t="n">
        <v>511.13</v>
      </c>
      <c r="C17" s="30" t="n">
        <v>565.9</v>
      </c>
      <c r="D17" s="30" t="n">
        <v>743.85</v>
      </c>
      <c r="E17" s="30" t="n">
        <v>641.5</v>
      </c>
      <c r="F17" s="30" t="n">
        <v>1368.05</v>
      </c>
      <c r="G17" s="30" t="n">
        <v>1906.85</v>
      </c>
      <c r="H17" s="30" t="n">
        <v>1427.95</v>
      </c>
      <c r="I17" s="30" t="n">
        <v>1498.05</v>
      </c>
      <c r="J17" s="30" t="n">
        <v>1570.65</v>
      </c>
      <c r="K17" s="30" t="n">
        <v>1250.6</v>
      </c>
    </row>
    <row r="18" customFormat="false" ht="15" hidden="false" customHeight="true" outlineLevel="0" collapsed="false">
      <c r="A18" s="31" t="s">
        <v>59</v>
      </c>
      <c r="B18" s="32" t="n">
        <f aca="false">B14/B13</f>
        <v>0.280587439226104</v>
      </c>
      <c r="C18" s="32" t="n">
        <f aca="false">C14/C13</f>
        <v>0.209225456339418</v>
      </c>
      <c r="D18" s="32" t="n">
        <f aca="false">D14/D13</f>
        <v>0.267620360249038</v>
      </c>
      <c r="E18" s="32" t="n">
        <f aca="false">E14/E13</f>
        <v>0.243922388330986</v>
      </c>
      <c r="F18" s="32" t="n">
        <f aca="false">F14/F13</f>
        <v>0.270579840769115</v>
      </c>
      <c r="G18" s="32" t="n">
        <f aca="false">G14/G13</f>
        <v>0.264496844902026</v>
      </c>
      <c r="H18" s="32" t="n">
        <f aca="false">H14/H13</f>
        <v>0.27651401476502</v>
      </c>
      <c r="I18" s="32" t="n">
        <f aca="false">I14/I13</f>
        <v>0.270645770812493</v>
      </c>
      <c r="J18" s="32" t="n">
        <f aca="false">J14/J13</f>
        <v>0.288715166985748</v>
      </c>
      <c r="K18" s="32" t="n">
        <f aca="false">K14/K13</f>
        <v>0.263057882235279</v>
      </c>
      <c r="N18" s="33" t="n">
        <f aca="false">AVERAGE(B18:K18)</f>
        <v>0.263536516461523</v>
      </c>
    </row>
    <row r="19" customFormat="false" ht="15" hidden="false" customHeight="true" outlineLevel="0" collapsed="false">
      <c r="A19" s="31" t="s">
        <v>56</v>
      </c>
      <c r="B19" s="32" t="n">
        <f aca="false">B10/B6</f>
        <v>0.0248671222475323</v>
      </c>
      <c r="C19" s="32" t="n">
        <f aca="false">C10/C6</f>
        <v>0.0264172882221151</v>
      </c>
      <c r="D19" s="32" t="n">
        <f aca="false">D10/D6</f>
        <v>0.02432416087088</v>
      </c>
      <c r="E19" s="32" t="n">
        <f aca="false">E10/E6</f>
        <v>0.0318643918450067</v>
      </c>
      <c r="F19" s="32" t="n">
        <f aca="false">F10/F6</f>
        <v>0.0325165220160841</v>
      </c>
      <c r="G19" s="32" t="n">
        <f aca="false">G10/G6</f>
        <v>0.0285758913524223</v>
      </c>
      <c r="H19" s="32" t="n">
        <f aca="false">H10/H6</f>
        <v>0.0287871251711897</v>
      </c>
      <c r="I19" s="32" t="n">
        <f aca="false">I10/I6</f>
        <v>0.0304418559250342</v>
      </c>
      <c r="J19" s="32" t="n">
        <f aca="false">J10/J6</f>
        <v>0.0295232836370329</v>
      </c>
      <c r="K19" s="32" t="n">
        <f aca="false">K10/K6</f>
        <v>0.0274391267842149</v>
      </c>
      <c r="N19" s="33" t="n">
        <f aca="false">AVERAGE(B19:K19)</f>
        <v>0.0284756768071512</v>
      </c>
    </row>
    <row r="20" customFormat="false" ht="15" hidden="false" customHeight="true" outlineLevel="0" collapsed="false">
      <c r="A20" s="31" t="s">
        <v>124</v>
      </c>
      <c r="C20" s="32" t="n">
        <f aca="false">C6/B6-1</f>
        <v>0.0297587757724431</v>
      </c>
      <c r="D20" s="32" t="n">
        <f aca="false">D6/C6-1</f>
        <v>0.172329202234764</v>
      </c>
      <c r="E20" s="32" t="n">
        <f aca="false">E6/D6-1</f>
        <v>0.0981675234351376</v>
      </c>
      <c r="F20" s="32" t="n">
        <f aca="false">F6/E6-1</f>
        <v>0.106629511735745</v>
      </c>
      <c r="G20" s="32" t="n">
        <f aca="false">G6/F6-1</f>
        <v>0.210695517159009</v>
      </c>
      <c r="H20" s="32" t="n">
        <f aca="false">H6/G6-1</f>
        <v>0.206558643878298</v>
      </c>
      <c r="I20" s="32" t="n">
        <f aca="false">I6/H6-1</f>
        <v>0.0470337337412361</v>
      </c>
      <c r="J20" s="32" t="n">
        <f aca="false">J6/I6-1</f>
        <v>0.0606494436129368</v>
      </c>
      <c r="K20" s="32" t="n">
        <f aca="false">K6/J6-1</f>
        <v>0.0960795140806185</v>
      </c>
      <c r="N20" s="33" t="n">
        <f aca="false">AVERAGE(C20:K20)</f>
        <v>0.114211318405576</v>
      </c>
    </row>
    <row r="21" customFormat="false" ht="15" hidden="false" customHeight="true" outlineLevel="0" collapsed="false">
      <c r="A21" s="31" t="s">
        <v>55</v>
      </c>
      <c r="B21" s="32" t="n">
        <f aca="false">B8/B6</f>
        <v>0.271654693066994</v>
      </c>
      <c r="C21" s="32" t="n">
        <f aca="false">C8/C6</f>
        <v>0.266895436884944</v>
      </c>
      <c r="D21" s="32" t="n">
        <f aca="false">D8/D6</f>
        <v>0.243967342001814</v>
      </c>
      <c r="E21" s="32" t="n">
        <f aca="false">E8/E6</f>
        <v>0.245255587007523</v>
      </c>
      <c r="F21" s="32" t="n">
        <f aca="false">F8/F6</f>
        <v>0.277579823234334</v>
      </c>
      <c r="G21" s="32" t="n">
        <f aca="false">G8/G6</f>
        <v>0.258884751029669</v>
      </c>
      <c r="H21" s="32" t="n">
        <f aca="false">H8/H6</f>
        <v>0.239358983967786</v>
      </c>
      <c r="I21" s="32" t="n">
        <f aca="false">I8/I6</f>
        <v>0.237033903819874</v>
      </c>
      <c r="J21" s="32" t="n">
        <f aca="false">J8/J6</f>
        <v>0.240726424934045</v>
      </c>
      <c r="K21" s="32" t="n">
        <f aca="false">K8/K6</f>
        <v>0.236663867898125</v>
      </c>
      <c r="N21" s="33" t="n">
        <f aca="false">AVERAGE(B21:K21)</f>
        <v>0.251802081384511</v>
      </c>
    </row>
    <row r="23" customFormat="false" ht="15" hidden="false" customHeight="true" outlineLevel="0" collapsed="false">
      <c r="A23" s="6" t="s">
        <v>125</v>
      </c>
      <c r="B23" s="6"/>
      <c r="C23" s="6"/>
      <c r="D23" s="6"/>
      <c r="E23" s="6"/>
      <c r="F23" s="6"/>
      <c r="G23" s="6"/>
      <c r="H23" s="6"/>
      <c r="I23" s="6"/>
      <c r="J23" s="6"/>
      <c r="K23" s="6"/>
      <c r="L23" s="6"/>
      <c r="M23" s="6"/>
    </row>
    <row r="24" customFormat="false" ht="15" hidden="false" customHeight="true" outlineLevel="0" collapsed="false">
      <c r="A24" s="14" t="s">
        <v>126</v>
      </c>
      <c r="B24" s="28" t="n">
        <v>1144</v>
      </c>
      <c r="C24" s="28" t="n">
        <v>1088</v>
      </c>
      <c r="D24" s="28" t="n">
        <v>2170</v>
      </c>
      <c r="E24" s="28" t="n">
        <v>2122</v>
      </c>
      <c r="F24" s="28" t="n">
        <v>2124</v>
      </c>
      <c r="G24" s="28" t="n">
        <v>2098</v>
      </c>
      <c r="H24" s="28" t="n">
        <v>2069</v>
      </c>
      <c r="I24" s="28" t="n">
        <v>2071</v>
      </c>
      <c r="J24" s="28" t="n">
        <v>2073</v>
      </c>
      <c r="K24" s="28" t="n">
        <v>2024</v>
      </c>
    </row>
    <row r="25" customFormat="false" ht="15" hidden="false" customHeight="true" outlineLevel="0" collapsed="false">
      <c r="A25" s="14" t="s">
        <v>127</v>
      </c>
      <c r="B25" s="28" t="n">
        <v>67838</v>
      </c>
      <c r="C25" s="28" t="n">
        <v>63835</v>
      </c>
      <c r="D25" s="28" t="n">
        <v>62778</v>
      </c>
      <c r="E25" s="28" t="n">
        <v>63328</v>
      </c>
      <c r="F25" s="28" t="n">
        <v>74227</v>
      </c>
      <c r="G25" s="28" t="n">
        <v>73252</v>
      </c>
      <c r="H25" s="28" t="n">
        <v>73338</v>
      </c>
      <c r="I25" s="28" t="n">
        <v>86045</v>
      </c>
      <c r="J25" s="28" t="n">
        <v>93745</v>
      </c>
      <c r="K25" s="28" t="n">
        <v>90828</v>
      </c>
    </row>
    <row r="26" customFormat="false" ht="15" hidden="false" customHeight="true" outlineLevel="0" collapsed="false">
      <c r="A26" s="4" t="s">
        <v>128</v>
      </c>
      <c r="B26" s="29" t="n">
        <f aca="false">B24+B25</f>
        <v>68982</v>
      </c>
      <c r="C26" s="29" t="n">
        <f aca="false">C24+C25</f>
        <v>64923</v>
      </c>
      <c r="D26" s="29" t="n">
        <f aca="false">D24+D25</f>
        <v>64948</v>
      </c>
      <c r="E26" s="29" t="n">
        <f aca="false">E24+E25</f>
        <v>65450</v>
      </c>
      <c r="F26" s="29" t="n">
        <f aca="false">F24+F25</f>
        <v>76351</v>
      </c>
      <c r="G26" s="29" t="n">
        <f aca="false">G24+G25</f>
        <v>75350</v>
      </c>
      <c r="H26" s="29" t="n">
        <f aca="false">H24+H25</f>
        <v>75407</v>
      </c>
      <c r="I26" s="29" t="n">
        <f aca="false">I24+I25</f>
        <v>88116</v>
      </c>
      <c r="J26" s="29" t="n">
        <f aca="false">J24+J25</f>
        <v>95818</v>
      </c>
      <c r="K26" s="29" t="n">
        <f aca="false">K24+K25</f>
        <v>92852</v>
      </c>
    </row>
    <row r="27" customFormat="false" ht="15" hidden="false" customHeight="true" outlineLevel="0" collapsed="false">
      <c r="A27" s="14" t="s">
        <v>129</v>
      </c>
      <c r="B27" s="28" t="n">
        <v>0</v>
      </c>
      <c r="C27" s="28" t="n">
        <v>0</v>
      </c>
      <c r="D27" s="28" t="n">
        <v>0</v>
      </c>
      <c r="E27" s="28" t="n">
        <v>4633</v>
      </c>
      <c r="F27" s="28" t="n">
        <v>5325</v>
      </c>
      <c r="G27" s="28" t="n">
        <v>5474</v>
      </c>
      <c r="H27" s="28" t="n">
        <v>8299</v>
      </c>
      <c r="I27" s="28" t="n">
        <v>8359</v>
      </c>
      <c r="J27" s="28" t="n">
        <v>8227</v>
      </c>
      <c r="K27" s="28" t="n">
        <v>9176</v>
      </c>
    </row>
    <row r="28" customFormat="false" ht="15" hidden="false" customHeight="true" outlineLevel="0" collapsed="false">
      <c r="A28" s="14" t="s">
        <v>130</v>
      </c>
      <c r="B28" s="28" t="n">
        <v>14166</v>
      </c>
      <c r="C28" s="28" t="n">
        <v>14426</v>
      </c>
      <c r="D28" s="28" t="n">
        <v>19118</v>
      </c>
      <c r="E28" s="28" t="n">
        <v>21717</v>
      </c>
      <c r="F28" s="28" t="n">
        <v>25835</v>
      </c>
      <c r="G28" s="28" t="n">
        <v>35905</v>
      </c>
      <c r="H28" s="28" t="n">
        <v>40890</v>
      </c>
      <c r="I28" s="28" t="n">
        <v>39545</v>
      </c>
      <c r="J28" s="28" t="n">
        <v>43750</v>
      </c>
      <c r="K28" s="28" t="n">
        <v>52260</v>
      </c>
    </row>
    <row r="29" customFormat="false" ht="15" hidden="false" customHeight="true" outlineLevel="0" collapsed="false">
      <c r="A29" s="4" t="s">
        <v>131</v>
      </c>
      <c r="B29" s="29" t="n">
        <f aca="false">B26+B27+B28</f>
        <v>83148</v>
      </c>
      <c r="C29" s="29" t="n">
        <f aca="false">C26+C27+C28</f>
        <v>79349</v>
      </c>
      <c r="D29" s="29" t="n">
        <f aca="false">D26+D27+D28</f>
        <v>84066</v>
      </c>
      <c r="E29" s="29" t="n">
        <f aca="false">E26+E27+E28</f>
        <v>91800</v>
      </c>
      <c r="F29" s="29" t="n">
        <f aca="false">F26+F27+F28</f>
        <v>107511</v>
      </c>
      <c r="G29" s="29" t="n">
        <f aca="false">G26+G27+G28</f>
        <v>116729</v>
      </c>
      <c r="H29" s="29" t="n">
        <f aca="false">H26+H27+H28</f>
        <v>124596</v>
      </c>
      <c r="I29" s="29" t="n">
        <f aca="false">I26+I27+I28</f>
        <v>136020</v>
      </c>
      <c r="J29" s="29" t="n">
        <f aca="false">J26+J27+J28</f>
        <v>147795</v>
      </c>
      <c r="K29" s="29" t="n">
        <f aca="false">K26+K27+K28</f>
        <v>154288</v>
      </c>
    </row>
    <row r="30" customFormat="false" ht="15" hidden="false" customHeight="true" outlineLevel="0" collapsed="false">
      <c r="A30" s="14" t="s">
        <v>132</v>
      </c>
      <c r="B30" s="28" t="n">
        <v>14179</v>
      </c>
      <c r="C30" s="28" t="n">
        <v>12574</v>
      </c>
      <c r="D30" s="28" t="n">
        <v>15710</v>
      </c>
      <c r="E30" s="28" t="n">
        <v>23789</v>
      </c>
      <c r="F30" s="28" t="n">
        <v>25505</v>
      </c>
      <c r="G30" s="28" t="n">
        <v>25800</v>
      </c>
      <c r="H30" s="28" t="n">
        <v>29225</v>
      </c>
      <c r="I30" s="28" t="n">
        <v>27622</v>
      </c>
      <c r="J30" s="28" t="n">
        <v>30961</v>
      </c>
      <c r="K30" s="28" t="n">
        <v>33770</v>
      </c>
    </row>
    <row r="31" customFormat="false" ht="15" hidden="false" customHeight="true" outlineLevel="0" collapsed="false">
      <c r="A31" s="14" t="s">
        <v>133</v>
      </c>
      <c r="B31" s="28" t="n">
        <v>1365</v>
      </c>
      <c r="C31" s="28" t="n">
        <v>1606</v>
      </c>
      <c r="D31" s="28" t="n">
        <v>1388</v>
      </c>
      <c r="E31" s="28" t="n">
        <v>954</v>
      </c>
      <c r="F31" s="28" t="n">
        <v>922</v>
      </c>
      <c r="G31" s="28" t="n">
        <v>416</v>
      </c>
      <c r="H31" s="28" t="n">
        <v>288</v>
      </c>
      <c r="I31" s="28" t="n">
        <v>293</v>
      </c>
      <c r="J31" s="28" t="n">
        <v>814</v>
      </c>
      <c r="K31" s="28" t="n">
        <v>526</v>
      </c>
    </row>
    <row r="32" customFormat="false" ht="15" hidden="false" customHeight="true" outlineLevel="0" collapsed="false">
      <c r="A32" s="14" t="s">
        <v>134</v>
      </c>
      <c r="B32" s="28" t="n">
        <v>16423</v>
      </c>
      <c r="C32" s="28" t="n">
        <v>12163</v>
      </c>
      <c r="D32" s="28" t="n">
        <v>11261</v>
      </c>
      <c r="E32" s="28" t="n">
        <v>8792</v>
      </c>
      <c r="F32" s="28" t="n">
        <v>14205</v>
      </c>
      <c r="G32" s="28" t="n">
        <v>20324</v>
      </c>
      <c r="H32" s="28" t="n">
        <v>19478</v>
      </c>
      <c r="I32" s="28" t="n">
        <v>24623</v>
      </c>
      <c r="J32" s="28" t="n">
        <v>23541</v>
      </c>
      <c r="K32" s="28" t="n">
        <v>21880</v>
      </c>
    </row>
    <row r="33" customFormat="false" ht="15" hidden="false" customHeight="true" outlineLevel="0" collapsed="false">
      <c r="A33" s="14" t="s">
        <v>135</v>
      </c>
      <c r="B33" s="28" t="n">
        <v>51181</v>
      </c>
      <c r="C33" s="28" t="n">
        <v>53006</v>
      </c>
      <c r="D33" s="28" t="n">
        <v>55707</v>
      </c>
      <c r="E33" s="28" t="n">
        <v>58265</v>
      </c>
      <c r="F33" s="28" t="n">
        <v>66879</v>
      </c>
      <c r="G33" s="28" t="n">
        <v>70189</v>
      </c>
      <c r="H33" s="28" t="n">
        <v>75605</v>
      </c>
      <c r="I33" s="28" t="n">
        <v>83482</v>
      </c>
      <c r="J33" s="28" t="n">
        <v>92479</v>
      </c>
      <c r="K33" s="28" t="n">
        <v>98112</v>
      </c>
    </row>
    <row r="34" customFormat="false" ht="15" hidden="false" customHeight="true" outlineLevel="0" collapsed="false">
      <c r="A34" s="4" t="s">
        <v>136</v>
      </c>
      <c r="B34" s="29" t="n">
        <f aca="false">B30+B31+B32+B33</f>
        <v>83148</v>
      </c>
      <c r="C34" s="29" t="n">
        <f aca="false">C30+C31+C32+C33</f>
        <v>79349</v>
      </c>
      <c r="D34" s="29" t="n">
        <f aca="false">D30+D31+D32+D33</f>
        <v>84066</v>
      </c>
      <c r="E34" s="29" t="n">
        <f aca="false">E30+E31+E32+E33</f>
        <v>91800</v>
      </c>
      <c r="F34" s="29" t="n">
        <f aca="false">F30+F31+F32+F33</f>
        <v>107511</v>
      </c>
      <c r="G34" s="29" t="n">
        <f aca="false">G30+G31+G32+G33</f>
        <v>116729</v>
      </c>
      <c r="H34" s="29" t="n">
        <f aca="false">H30+H31+H32+H33</f>
        <v>124596</v>
      </c>
      <c r="I34" s="29" t="n">
        <f aca="false">I30+I31+I32+I33</f>
        <v>136020</v>
      </c>
      <c r="J34" s="29" t="n">
        <f aca="false">J30+J31+J32+J33</f>
        <v>147795</v>
      </c>
      <c r="K34" s="29" t="n">
        <f aca="false">K30+K31+K32+K33</f>
        <v>154288</v>
      </c>
    </row>
    <row r="35" customFormat="false" ht="15" hidden="false" customHeight="true" outlineLevel="0" collapsed="false">
      <c r="A35" s="14" t="s">
        <v>137</v>
      </c>
      <c r="B35" s="28" t="n">
        <v>37015</v>
      </c>
      <c r="C35" s="28" t="n">
        <v>38580</v>
      </c>
      <c r="D35" s="28" t="n">
        <v>36589</v>
      </c>
      <c r="E35" s="28" t="n">
        <v>36548</v>
      </c>
      <c r="F35" s="28" t="n">
        <v>41044</v>
      </c>
      <c r="G35" s="28" t="n">
        <v>34284</v>
      </c>
      <c r="H35" s="28" t="n">
        <v>34715</v>
      </c>
      <c r="I35" s="28" t="n">
        <v>43937</v>
      </c>
      <c r="J35" s="28" t="n">
        <v>48729</v>
      </c>
      <c r="K35" s="28" t="n">
        <v>45852</v>
      </c>
    </row>
    <row r="36" customFormat="false" ht="15" hidden="false" customHeight="true" outlineLevel="0" collapsed="false">
      <c r="A36" s="14" t="s">
        <v>138</v>
      </c>
      <c r="B36" s="28" t="n">
        <v>12322</v>
      </c>
      <c r="C36" s="28" t="n">
        <v>13142</v>
      </c>
      <c r="D36" s="28" t="n">
        <v>14827</v>
      </c>
      <c r="E36" s="28" t="n">
        <v>18487</v>
      </c>
      <c r="F36" s="28" t="n">
        <v>19294</v>
      </c>
      <c r="G36" s="28" t="n">
        <v>22698</v>
      </c>
      <c r="H36" s="28" t="n">
        <v>25424</v>
      </c>
      <c r="I36" s="28" t="n">
        <v>30193</v>
      </c>
      <c r="J36" s="28" t="n">
        <v>31158</v>
      </c>
      <c r="K36" s="28" t="n">
        <v>35234</v>
      </c>
    </row>
    <row r="38" customFormat="false" ht="15" hidden="false" customHeight="true" outlineLevel="0" collapsed="false">
      <c r="A38" s="6" t="s">
        <v>139</v>
      </c>
      <c r="B38" s="6"/>
      <c r="C38" s="6"/>
      <c r="D38" s="6"/>
      <c r="E38" s="6"/>
      <c r="F38" s="6"/>
      <c r="G38" s="6"/>
      <c r="H38" s="6"/>
      <c r="I38" s="6"/>
      <c r="J38" s="6"/>
      <c r="K38" s="6"/>
      <c r="L38" s="6"/>
      <c r="M38" s="6"/>
    </row>
    <row r="39" customFormat="false" ht="15" hidden="false" customHeight="true" outlineLevel="0" collapsed="false">
      <c r="A39" s="14" t="s">
        <v>140</v>
      </c>
      <c r="B39" s="28" t="n">
        <v>11531</v>
      </c>
      <c r="C39" s="28" t="n">
        <v>13218</v>
      </c>
      <c r="D39" s="28" t="n">
        <v>14841</v>
      </c>
      <c r="E39" s="28" t="n">
        <v>17003</v>
      </c>
      <c r="F39" s="28" t="n">
        <v>23224</v>
      </c>
      <c r="G39" s="28" t="n">
        <v>23885</v>
      </c>
      <c r="H39" s="28" t="n">
        <v>22467</v>
      </c>
      <c r="I39" s="28" t="n">
        <v>25210</v>
      </c>
      <c r="J39" s="28" t="n">
        <v>35694</v>
      </c>
      <c r="K39" s="28" t="n">
        <v>33986</v>
      </c>
    </row>
    <row r="40" customFormat="false" ht="15" hidden="false" customHeight="true" outlineLevel="0" collapsed="false">
      <c r="A40" s="14" t="s">
        <v>141</v>
      </c>
      <c r="B40" s="28" t="n">
        <v>-14664</v>
      </c>
      <c r="C40" s="28" t="n">
        <v>4533</v>
      </c>
      <c r="D40" s="28" t="n">
        <v>-632</v>
      </c>
      <c r="E40" s="28" t="n">
        <v>-331</v>
      </c>
      <c r="F40" s="28" t="n">
        <v>-7373</v>
      </c>
      <c r="G40" s="28" t="n">
        <v>-6485</v>
      </c>
      <c r="H40" s="28" t="n">
        <v>-1071</v>
      </c>
      <c r="I40" s="28" t="n">
        <v>-5093</v>
      </c>
      <c r="J40" s="28" t="n">
        <v>-1864</v>
      </c>
      <c r="K40" s="28" t="n">
        <v>3546</v>
      </c>
    </row>
    <row r="41" customFormat="false" ht="15" hidden="false" customHeight="true" outlineLevel="0" collapsed="false">
      <c r="A41" s="14" t="s">
        <v>142</v>
      </c>
      <c r="B41" s="28" t="n">
        <v>-6939</v>
      </c>
      <c r="C41" s="28" t="n">
        <v>-20505</v>
      </c>
      <c r="D41" s="28" t="n">
        <v>-14512</v>
      </c>
      <c r="E41" s="28" t="n">
        <v>-17591</v>
      </c>
      <c r="F41" s="28" t="n">
        <v>-9786</v>
      </c>
      <c r="G41" s="28" t="n">
        <v>-24642</v>
      </c>
      <c r="H41" s="28" t="n">
        <v>-26695</v>
      </c>
      <c r="I41" s="28" t="n">
        <v>-17504</v>
      </c>
      <c r="J41" s="28" t="n">
        <v>-24161</v>
      </c>
      <c r="K41" s="28" t="n">
        <v>-39786</v>
      </c>
    </row>
    <row r="42" customFormat="false" ht="15" hidden="false" customHeight="true" outlineLevel="0" collapsed="false">
      <c r="A42" s="4" t="s">
        <v>143</v>
      </c>
      <c r="B42" s="29" t="n">
        <f aca="false">B39+B40+B41</f>
        <v>-10072</v>
      </c>
      <c r="C42" s="29" t="n">
        <f aca="false">C39+C40+C41</f>
        <v>-2754</v>
      </c>
      <c r="D42" s="29" t="n">
        <f aca="false">D39+D40+D41</f>
        <v>-303</v>
      </c>
      <c r="E42" s="29" t="n">
        <f aca="false">E39+E40+E41</f>
        <v>-919</v>
      </c>
      <c r="F42" s="29" t="n">
        <f aca="false">F39+F40+F41</f>
        <v>6065</v>
      </c>
      <c r="G42" s="29" t="n">
        <f aca="false">G39+G40+G41</f>
        <v>-7242</v>
      </c>
      <c r="H42" s="29" t="n">
        <f aca="false">H39+H40+H41</f>
        <v>-5299</v>
      </c>
      <c r="I42" s="29" t="n">
        <f aca="false">I39+I40+I41</f>
        <v>2613</v>
      </c>
      <c r="J42" s="29" t="n">
        <f aca="false">J39+J40+J41</f>
        <v>9669</v>
      </c>
      <c r="K42" s="29" t="n">
        <f aca="false">K39+K40+K41</f>
        <v>-2254</v>
      </c>
    </row>
    <row r="44" customFormat="false" ht="15" hidden="false" customHeight="true" outlineLevel="0" collapsed="false">
      <c r="A44" s="6" t="s">
        <v>144</v>
      </c>
      <c r="B44" s="6"/>
      <c r="C44" s="6"/>
      <c r="D44" s="6"/>
      <c r="E44" s="6"/>
      <c r="F44" s="6"/>
      <c r="G44" s="6"/>
      <c r="H44" s="6"/>
      <c r="I44" s="6"/>
      <c r="J44" s="6"/>
      <c r="K44" s="6"/>
      <c r="L44" s="6"/>
      <c r="M44" s="6"/>
    </row>
    <row r="45" customFormat="false" ht="15" hidden="false" customHeight="true" outlineLevel="0" collapsed="false">
      <c r="A45" s="31" t="s">
        <v>145</v>
      </c>
      <c r="C45" s="34" t="n">
        <f aca="false">(C30-B30)+(C31-B31)+C10</f>
        <v>499</v>
      </c>
      <c r="D45" s="34" t="n">
        <f aca="false">(D30-C30)+(D31-C31)+D10</f>
        <v>4929</v>
      </c>
      <c r="E45" s="34" t="n">
        <f aca="false">(E30-D30)+(E31-D31)+E10</f>
        <v>10538</v>
      </c>
      <c r="F45" s="34" t="n">
        <f aca="false">(F30-E30)+(F31-E31)+F10</f>
        <v>4951</v>
      </c>
      <c r="G45" s="34" t="n">
        <f aca="false">(G30-F30)+(G31-F31)+G10</f>
        <v>3265</v>
      </c>
      <c r="H45" s="34" t="n">
        <f aca="false">(H30-G30)+(H31-G31)+H10</f>
        <v>7522</v>
      </c>
      <c r="I45" s="34" t="n">
        <f aca="false">(I30-H30)+(I31-H31)+I10</f>
        <v>3080</v>
      </c>
      <c r="J45" s="34" t="n">
        <f aca="false">(J30-I30)+(J31-I31)+J10</f>
        <v>8672</v>
      </c>
      <c r="K45" s="34" t="n">
        <f aca="false">(K30-J30)+(K31-J31)+K10</f>
        <v>7423</v>
      </c>
    </row>
    <row r="46" customFormat="false" ht="15" hidden="false" customHeight="true" outlineLevel="0" collapsed="false">
      <c r="A46" s="31" t="s">
        <v>57</v>
      </c>
      <c r="C46" s="32" t="n">
        <f aca="false">C45/C6</f>
        <v>0.00707580613141998</v>
      </c>
      <c r="D46" s="32" t="n">
        <f aca="false">D45/D6</f>
        <v>0.0596189900211672</v>
      </c>
      <c r="E46" s="32" t="n">
        <f aca="false">E45/E6</f>
        <v>0.116068773336564</v>
      </c>
      <c r="F46" s="32" t="n">
        <f aca="false">F45/F6</f>
        <v>0.0492774106218648</v>
      </c>
      <c r="G46" s="32" t="n">
        <f aca="false">G45/G6</f>
        <v>0.0268412788451262</v>
      </c>
      <c r="H46" s="32" t="n">
        <f aca="false">H45/H6</f>
        <v>0.0512513030858435</v>
      </c>
      <c r="I46" s="32" t="n">
        <f aca="false">I45/I6</f>
        <v>0.0200429491768074</v>
      </c>
      <c r="J46" s="32" t="n">
        <f aca="false">J45/J6</f>
        <v>0.0532057181422173</v>
      </c>
      <c r="K46" s="32" t="n">
        <f aca="false">K45/K6</f>
        <v>0.0415505177721802</v>
      </c>
      <c r="N46" s="33" t="n">
        <f aca="false">AVERAGE(H46:K46)</f>
        <v>0.0415126220442621</v>
      </c>
    </row>
    <row r="47" customFormat="false" ht="15" hidden="false" customHeight="true" outlineLevel="0" collapsed="false">
      <c r="A47" s="31" t="s">
        <v>58</v>
      </c>
      <c r="B47" s="32" t="n">
        <f aca="false">B35/B6</f>
        <v>0.540491209625606</v>
      </c>
      <c r="C47" s="32" t="n">
        <f aca="false">C35/C6</f>
        <v>0.547063327755878</v>
      </c>
      <c r="D47" s="32" t="n">
        <f aca="false">D35/D6</f>
        <v>0.442564257635319</v>
      </c>
      <c r="E47" s="32" t="n">
        <f aca="false">E35/E6</f>
        <v>0.402550913636814</v>
      </c>
      <c r="F47" s="32" t="n">
        <f aca="false">F35/F6</f>
        <v>0.408511824189824</v>
      </c>
      <c r="G47" s="32" t="n">
        <f aca="false">G35/G6</f>
        <v>0.281845759242361</v>
      </c>
      <c r="H47" s="32" t="n">
        <f aca="false">H35/H6</f>
        <v>0.236531372856296</v>
      </c>
      <c r="I47" s="32" t="n">
        <f aca="false">I35/I6</f>
        <v>0.285917875967983</v>
      </c>
      <c r="J47" s="32" t="n">
        <f aca="false">J35/J6</f>
        <v>0.298969261917909</v>
      </c>
      <c r="K47" s="32" t="n">
        <f aca="false">K35/K6</f>
        <v>0.256658270361041</v>
      </c>
      <c r="N47" s="33" t="n">
        <f aca="false">AVERAGE(H47:K47)</f>
        <v>0.269519195275807</v>
      </c>
    </row>
    <row r="48" customFormat="false" ht="15" hidden="false" customHeight="true" outlineLevel="0" collapsed="false">
      <c r="A48" s="31" t="s">
        <v>146</v>
      </c>
      <c r="B48" s="32" t="n">
        <f aca="false">B27/B6</f>
        <v>0</v>
      </c>
      <c r="C48" s="32" t="n">
        <f aca="false">C27/C6</f>
        <v>0</v>
      </c>
      <c r="D48" s="32" t="n">
        <f aca="false">D27/D6</f>
        <v>0</v>
      </c>
      <c r="E48" s="32" t="n">
        <f aca="false">E27/E6</f>
        <v>0.05102928704387</v>
      </c>
      <c r="F48" s="32" t="n">
        <f aca="false">F27/F6</f>
        <v>0.0529998407516522</v>
      </c>
      <c r="G48" s="32" t="n">
        <f aca="false">G27/G6</f>
        <v>0.0450012742414153</v>
      </c>
      <c r="H48" s="32" t="n">
        <f aca="false">H27/H6</f>
        <v>0.0565454087090422</v>
      </c>
      <c r="I48" s="32" t="n">
        <f aca="false">I27/I6</f>
        <v>0.0543957831717316</v>
      </c>
      <c r="J48" s="32" t="n">
        <f aca="false">J27/J6</f>
        <v>0.0504754892938217</v>
      </c>
      <c r="K48" s="32" t="n">
        <f aca="false">K27/K6</f>
        <v>0.0513630002798769</v>
      </c>
      <c r="N48" s="33" t="n">
        <f aca="false">AVERAGE(B48:K48)</f>
        <v>0.036181008349141</v>
      </c>
    </row>
    <row r="50" customFormat="false" ht="15" hidden="false" customHeight="true" outlineLevel="0" collapsed="false">
      <c r="A50" s="35" t="s">
        <v>147</v>
      </c>
      <c r="B50" s="35"/>
      <c r="C50" s="35"/>
      <c r="D50" s="35"/>
      <c r="E50" s="35"/>
      <c r="F50" s="35"/>
      <c r="G50" s="35"/>
      <c r="H50" s="35"/>
      <c r="I50" s="35"/>
      <c r="J50" s="35"/>
      <c r="K50" s="35"/>
      <c r="L50" s="35"/>
      <c r="M50" s="35"/>
    </row>
    <row r="51" customFormat="false" ht="15" hidden="false" customHeight="true" outlineLevel="0" collapsed="false">
      <c r="A51" s="35"/>
      <c r="B51" s="35"/>
      <c r="C51" s="35"/>
      <c r="D51" s="35"/>
      <c r="E51" s="35"/>
      <c r="F51" s="35"/>
      <c r="G51" s="35"/>
      <c r="H51" s="35"/>
      <c r="I51" s="35"/>
      <c r="J51" s="35"/>
      <c r="K51" s="35"/>
      <c r="L51" s="35"/>
      <c r="M51" s="35"/>
    </row>
    <row r="52" customFormat="false" ht="15" hidden="false" customHeight="true" outlineLevel="0" collapsed="false">
      <c r="A52" s="35"/>
      <c r="B52" s="35"/>
      <c r="C52" s="35"/>
      <c r="D52" s="35"/>
      <c r="E52" s="35"/>
      <c r="F52" s="35"/>
      <c r="G52" s="35"/>
      <c r="H52" s="35"/>
      <c r="I52" s="35"/>
      <c r="J52" s="35"/>
      <c r="K52" s="35"/>
      <c r="L52" s="35"/>
      <c r="M52" s="35"/>
    </row>
  </sheetData>
  <mergeCells count="7">
    <mergeCell ref="A1:N1"/>
    <mergeCell ref="A2:N2"/>
    <mergeCell ref="A5:M5"/>
    <mergeCell ref="A23:M23"/>
    <mergeCell ref="A38:M38"/>
    <mergeCell ref="A44:M44"/>
    <mergeCell ref="A50:M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6" min="2" style="1" width="13"/>
  </cols>
  <sheetData>
    <row r="1" customFormat="false" ht="24" hidden="false" customHeight="true" outlineLevel="0" collapsed="false">
      <c r="A1" s="15" t="s">
        <v>148</v>
      </c>
      <c r="B1" s="15"/>
      <c r="C1" s="15"/>
      <c r="D1" s="15"/>
      <c r="E1" s="15"/>
      <c r="F1" s="15"/>
    </row>
    <row r="2" customFormat="false" ht="15" hidden="false" customHeight="true" outlineLevel="0" collapsed="false">
      <c r="A2" s="27" t="s">
        <v>149</v>
      </c>
      <c r="B2" s="27"/>
      <c r="C2" s="27"/>
      <c r="D2" s="27"/>
      <c r="E2" s="27"/>
      <c r="F2" s="27"/>
    </row>
    <row r="3" customFormat="false" ht="15" hidden="false" customHeight="true" outlineLevel="0" collapsed="false">
      <c r="A3" s="17" t="s">
        <v>99</v>
      </c>
      <c r="B3" s="17" t="s">
        <v>49</v>
      </c>
      <c r="C3" s="17" t="s">
        <v>50</v>
      </c>
      <c r="D3" s="17" t="s">
        <v>51</v>
      </c>
      <c r="E3" s="17" t="s">
        <v>52</v>
      </c>
      <c r="F3" s="17" t="s">
        <v>53</v>
      </c>
    </row>
    <row r="5" customFormat="false" ht="15" hidden="false" customHeight="true" outlineLevel="0" collapsed="false">
      <c r="A5" s="4" t="s">
        <v>112</v>
      </c>
      <c r="B5" s="36" t="n">
        <f aca="false">03_Historical!K6*(1+02_Assumptions!B6)</f>
        <v>192942</v>
      </c>
      <c r="C5" s="36" t="n">
        <f aca="false">B5*(1+02_Assumptions!C6)</f>
        <v>208377.36</v>
      </c>
      <c r="D5" s="36" t="n">
        <f aca="false">C5*(1+02_Assumptions!D6)</f>
        <v>222963.7752</v>
      </c>
      <c r="E5" s="36" t="n">
        <f aca="false">D5*(1+02_Assumptions!E6)</f>
        <v>238571.239464</v>
      </c>
      <c r="F5" s="36" t="n">
        <f aca="false">E5*(1+02_Assumptions!F6)</f>
        <v>252885.51383184</v>
      </c>
    </row>
    <row r="6" customFormat="false" ht="15" hidden="false" customHeight="true" outlineLevel="0" collapsed="false">
      <c r="A6" s="31" t="s">
        <v>150</v>
      </c>
      <c r="B6" s="32" t="n">
        <f aca="false">B5/03_Historical!K6-1</f>
        <v>0.0800000000000001</v>
      </c>
      <c r="C6" s="32" t="n">
        <f aca="false">C5/B5-1</f>
        <v>0.0800000000000001</v>
      </c>
      <c r="D6" s="32" t="n">
        <f aca="false">D5/C5-1</f>
        <v>0.0700000000000001</v>
      </c>
      <c r="E6" s="32" t="n">
        <f aca="false">E5/D5-1</f>
        <v>0.0700000000000001</v>
      </c>
      <c r="F6" s="32" t="n">
        <f aca="false">F5/E5-1</f>
        <v>0.0600000000000001</v>
      </c>
    </row>
    <row r="7" customFormat="false" ht="15" hidden="false" customHeight="true" outlineLevel="0" collapsed="false">
      <c r="A7" s="4" t="s">
        <v>151</v>
      </c>
      <c r="B7" s="36" t="n">
        <f aca="false">B5*02_Assumptions!B7</f>
        <v>46306.08</v>
      </c>
      <c r="C7" s="36" t="n">
        <f aca="false">C5*02_Assumptions!C7</f>
        <v>50010.5664</v>
      </c>
      <c r="D7" s="36" t="n">
        <f aca="false">D5*02_Assumptions!D7</f>
        <v>54626.124924</v>
      </c>
      <c r="E7" s="36" t="n">
        <f aca="false">E5*02_Assumptions!E7</f>
        <v>58449.95366868</v>
      </c>
      <c r="F7" s="36" t="n">
        <f aca="false">F5*02_Assumptions!F7</f>
        <v>63221.37845796</v>
      </c>
    </row>
    <row r="8" customFormat="false" ht="15" hidden="false" customHeight="true" outlineLevel="0" collapsed="false">
      <c r="A8" s="31" t="s">
        <v>152</v>
      </c>
      <c r="B8" s="32" t="n">
        <f aca="false">B7/B5</f>
        <v>0.24</v>
      </c>
      <c r="C8" s="32" t="n">
        <f aca="false">C7/C5</f>
        <v>0.24</v>
      </c>
      <c r="D8" s="32" t="n">
        <f aca="false">D7/D5</f>
        <v>0.245</v>
      </c>
      <c r="E8" s="32" t="n">
        <f aca="false">E7/E5</f>
        <v>0.245</v>
      </c>
      <c r="F8" s="32" t="n">
        <f aca="false">F7/F5</f>
        <v>0.25</v>
      </c>
    </row>
    <row r="9" customFormat="false" ht="15" hidden="false" customHeight="true" outlineLevel="0" collapsed="false">
      <c r="A9" s="14" t="s">
        <v>116</v>
      </c>
      <c r="B9" s="37" t="n">
        <f aca="false">05_Supporting_Schedules!B8</f>
        <v>5494.15403452537</v>
      </c>
      <c r="C9" s="37" t="n">
        <f aca="false">05_Supporting_Schedules!C8</f>
        <v>5933.6863572874</v>
      </c>
      <c r="D9" s="37" t="n">
        <f aca="false">05_Supporting_Schedules!D8</f>
        <v>6349.04440229752</v>
      </c>
      <c r="E9" s="37" t="n">
        <f aca="false">05_Supporting_Schedules!E8</f>
        <v>6793.47751045834</v>
      </c>
      <c r="F9" s="37" t="n">
        <f aca="false">05_Supporting_Schedules!F8</f>
        <v>7201.08616108585</v>
      </c>
    </row>
    <row r="10" customFormat="false" ht="15" hidden="false" customHeight="true" outlineLevel="0" collapsed="false">
      <c r="A10" s="4" t="s">
        <v>153</v>
      </c>
      <c r="B10" s="29" t="n">
        <f aca="false">B7-B9</f>
        <v>40811.9259654746</v>
      </c>
      <c r="C10" s="29" t="n">
        <f aca="false">C7-C9</f>
        <v>44076.8800427126</v>
      </c>
      <c r="D10" s="29" t="n">
        <f aca="false">D7-D9</f>
        <v>48277.0805217025</v>
      </c>
      <c r="E10" s="29" t="n">
        <f aca="false">E7-E9</f>
        <v>51656.4761582217</v>
      </c>
      <c r="F10" s="29" t="n">
        <f aca="false">F7-F9</f>
        <v>56020.2922968742</v>
      </c>
    </row>
    <row r="11" customFormat="false" ht="15" hidden="false" customHeight="true" outlineLevel="0" collapsed="false">
      <c r="A11" s="14" t="s">
        <v>117</v>
      </c>
      <c r="B11" s="37" t="n">
        <f aca="false">05_Supporting_Schedules!B20</f>
        <v>413.281764</v>
      </c>
      <c r="C11" s="37" t="n">
        <f aca="false">05_Supporting_Schedules!C20</f>
        <v>446.34430512</v>
      </c>
      <c r="D11" s="37" t="n">
        <f aca="false">05_Supporting_Schedules!D20</f>
        <v>477.5884064784</v>
      </c>
      <c r="E11" s="37" t="n">
        <f aca="false">05_Supporting_Schedules!E20</f>
        <v>511.019594931888</v>
      </c>
      <c r="F11" s="37" t="n">
        <f aca="false">05_Supporting_Schedules!F20</f>
        <v>541.680770627801</v>
      </c>
    </row>
    <row r="12" customFormat="false" ht="15" hidden="false" customHeight="true" outlineLevel="0" collapsed="false">
      <c r="A12" s="4" t="s">
        <v>119</v>
      </c>
      <c r="B12" s="29" t="n">
        <f aca="false">B10-B11</f>
        <v>40398.6442014746</v>
      </c>
      <c r="C12" s="29" t="n">
        <f aca="false">C10-C11</f>
        <v>43630.5357375926</v>
      </c>
      <c r="D12" s="29" t="n">
        <f aca="false">D10-D11</f>
        <v>47799.4921152241</v>
      </c>
      <c r="E12" s="29" t="n">
        <f aca="false">E10-E11</f>
        <v>51145.4565632898</v>
      </c>
      <c r="F12" s="29" t="n">
        <f aca="false">F10-F11</f>
        <v>55478.6115262464</v>
      </c>
    </row>
    <row r="13" customFormat="false" ht="15" hidden="false" customHeight="true" outlineLevel="0" collapsed="false">
      <c r="A13" s="14" t="s">
        <v>120</v>
      </c>
      <c r="B13" s="37" t="n">
        <f aca="false">B12*02_Assumptions!B11</f>
        <v>10646.5179626251</v>
      </c>
      <c r="C13" s="37" t="n">
        <f aca="false">C12*02_Assumptions!C11</f>
        <v>11498.2393996351</v>
      </c>
      <c r="D13" s="37" t="n">
        <f aca="false">D12*02_Assumptions!D11</f>
        <v>12596.9116406762</v>
      </c>
      <c r="E13" s="37" t="n">
        <f aca="false">E12*02_Assumptions!E11</f>
        <v>13478.6954555235</v>
      </c>
      <c r="F13" s="37" t="n">
        <f aca="false">F12*02_Assumptions!F11</f>
        <v>14620.640019749</v>
      </c>
    </row>
    <row r="14" customFormat="false" ht="15" hidden="false" customHeight="true" outlineLevel="0" collapsed="false">
      <c r="A14" s="4" t="s">
        <v>154</v>
      </c>
      <c r="B14" s="38" t="n">
        <f aca="false">B12-B13</f>
        <v>29752.1262388495</v>
      </c>
      <c r="C14" s="38" t="n">
        <f aca="false">C12-C13</f>
        <v>32132.2963379575</v>
      </c>
      <c r="D14" s="38" t="n">
        <f aca="false">D12-D13</f>
        <v>35202.5804745479</v>
      </c>
      <c r="E14" s="38" t="n">
        <f aca="false">E12-E13</f>
        <v>37666.7611077663</v>
      </c>
      <c r="F14" s="38" t="n">
        <f aca="false">F12-F13</f>
        <v>40857.9715064973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6" min="2" style="1" width="13"/>
  </cols>
  <sheetData>
    <row r="1" customFormat="false" ht="24" hidden="false" customHeight="true" outlineLevel="0" collapsed="false">
      <c r="A1" s="15" t="s">
        <v>155</v>
      </c>
      <c r="B1" s="15"/>
      <c r="C1" s="15"/>
      <c r="D1" s="15"/>
      <c r="E1" s="15"/>
      <c r="F1" s="15"/>
    </row>
    <row r="3" customFormat="false" ht="15" hidden="false" customHeight="true" outlineLevel="0" collapsed="false">
      <c r="A3" s="17" t="s">
        <v>99</v>
      </c>
      <c r="B3" s="17" t="s">
        <v>49</v>
      </c>
      <c r="C3" s="17" t="s">
        <v>50</v>
      </c>
      <c r="D3" s="17" t="s">
        <v>51</v>
      </c>
      <c r="E3" s="17" t="s">
        <v>52</v>
      </c>
      <c r="F3" s="17" t="s">
        <v>53</v>
      </c>
    </row>
    <row r="5" customFormat="false" ht="15" hidden="false" customHeight="true" outlineLevel="0" collapsed="false">
      <c r="A5" s="6" t="s">
        <v>156</v>
      </c>
      <c r="B5" s="6"/>
      <c r="C5" s="6"/>
      <c r="D5" s="6"/>
      <c r="E5" s="6"/>
      <c r="F5" s="6"/>
    </row>
    <row r="6" customFormat="false" ht="15" hidden="false" customHeight="true" outlineLevel="0" collapsed="false">
      <c r="A6" s="14" t="s">
        <v>157</v>
      </c>
      <c r="B6" s="37" t="n">
        <f aca="false">04_Forecast_Model!B5</f>
        <v>192942</v>
      </c>
      <c r="C6" s="37" t="n">
        <f aca="false">04_Forecast_Model!C5</f>
        <v>208377.36</v>
      </c>
      <c r="D6" s="37" t="n">
        <f aca="false">04_Forecast_Model!D5</f>
        <v>222963.7752</v>
      </c>
      <c r="E6" s="37" t="n">
        <f aca="false">04_Forecast_Model!E5</f>
        <v>238571.239464</v>
      </c>
      <c r="F6" s="37" t="n">
        <f aca="false">04_Forecast_Model!F5</f>
        <v>252885.51383184</v>
      </c>
    </row>
    <row r="7" customFormat="false" ht="15" hidden="false" customHeight="true" outlineLevel="0" collapsed="false">
      <c r="A7" s="14" t="s">
        <v>158</v>
      </c>
      <c r="B7" s="37" t="n">
        <f aca="false">B6*02_Assumptions!B9</f>
        <v>7524.738</v>
      </c>
      <c r="C7" s="37" t="n">
        <f aca="false">C6*02_Assumptions!C9</f>
        <v>8126.71704</v>
      </c>
      <c r="D7" s="37" t="n">
        <f aca="false">D6*02_Assumptions!D9</f>
        <v>8695.5872328</v>
      </c>
      <c r="E7" s="37" t="n">
        <f aca="false">E6*02_Assumptions!E9</f>
        <v>9304.278339096</v>
      </c>
      <c r="F7" s="37" t="n">
        <f aca="false">F6*02_Assumptions!F9</f>
        <v>9862.53503944176</v>
      </c>
    </row>
    <row r="8" customFormat="false" ht="15" hidden="false" customHeight="true" outlineLevel="0" collapsed="false">
      <c r="A8" s="14" t="s">
        <v>159</v>
      </c>
      <c r="B8" s="37" t="n">
        <f aca="false">B6*02_Assumptions!B8</f>
        <v>5494.15403452537</v>
      </c>
      <c r="C8" s="37" t="n">
        <f aca="false">C6*02_Assumptions!C8</f>
        <v>5933.6863572874</v>
      </c>
      <c r="D8" s="37" t="n">
        <f aca="false">D6*02_Assumptions!D8</f>
        <v>6349.04440229752</v>
      </c>
      <c r="E8" s="37" t="n">
        <f aca="false">E6*02_Assumptions!E8</f>
        <v>6793.47751045834</v>
      </c>
      <c r="F8" s="37" t="n">
        <f aca="false">F6*02_Assumptions!F8</f>
        <v>7201.08616108585</v>
      </c>
    </row>
    <row r="9" customFormat="false" ht="15" hidden="false" customHeight="true" outlineLevel="0" collapsed="false">
      <c r="A9" s="14" t="s">
        <v>160</v>
      </c>
      <c r="B9" s="37" t="n">
        <f aca="false">03_Historical!K30</f>
        <v>33770</v>
      </c>
      <c r="C9" s="24" t="n">
        <f aca="false">B11</f>
        <v>35800.5839654746</v>
      </c>
      <c r="D9" s="24" t="n">
        <f aca="false">C11</f>
        <v>37993.6146481872</v>
      </c>
      <c r="E9" s="24" t="n">
        <f aca="false">D11</f>
        <v>40340.1574786897</v>
      </c>
      <c r="F9" s="24" t="n">
        <f aca="false">E11</f>
        <v>42850.9583073274</v>
      </c>
    </row>
    <row r="10" customFormat="false" ht="15" hidden="false" customHeight="true" outlineLevel="0" collapsed="false">
      <c r="A10" s="14" t="s">
        <v>161</v>
      </c>
      <c r="B10" s="24" t="n">
        <f aca="false">B7-B8</f>
        <v>2030.58396547463</v>
      </c>
      <c r="C10" s="24" t="n">
        <f aca="false">C7-C8</f>
        <v>2193.0306827126</v>
      </c>
      <c r="D10" s="24" t="n">
        <f aca="false">D7-D8</f>
        <v>2346.54283050248</v>
      </c>
      <c r="E10" s="24" t="n">
        <f aca="false">E7-E8</f>
        <v>2510.80082863766</v>
      </c>
      <c r="F10" s="24" t="n">
        <f aca="false">F7-F8</f>
        <v>2661.44887835592</v>
      </c>
    </row>
    <row r="11" customFormat="false" ht="15" hidden="false" customHeight="true" outlineLevel="0" collapsed="false">
      <c r="A11" s="4" t="s">
        <v>162</v>
      </c>
      <c r="B11" s="29" t="n">
        <f aca="false">B9+B10</f>
        <v>35800.5839654746</v>
      </c>
      <c r="C11" s="29" t="n">
        <f aca="false">C9+C10</f>
        <v>37993.6146481872</v>
      </c>
      <c r="D11" s="29" t="n">
        <f aca="false">D9+D10</f>
        <v>40340.1574786897</v>
      </c>
      <c r="E11" s="29" t="n">
        <f aca="false">E9+E10</f>
        <v>42850.9583073274</v>
      </c>
      <c r="F11" s="29" t="n">
        <f aca="false">F9+F10</f>
        <v>45512.4071856833</v>
      </c>
    </row>
    <row r="13" customFormat="false" ht="15" hidden="false" customHeight="true" outlineLevel="0" collapsed="false">
      <c r="A13" s="6" t="s">
        <v>163</v>
      </c>
      <c r="B13" s="6"/>
      <c r="C13" s="6"/>
      <c r="D13" s="6"/>
      <c r="E13" s="6"/>
      <c r="F13" s="6"/>
    </row>
    <row r="14" customFormat="false" ht="15" hidden="false" customHeight="true" outlineLevel="0" collapsed="false">
      <c r="A14" s="14" t="s">
        <v>164</v>
      </c>
      <c r="B14" s="37" t="n">
        <f aca="false">B6*02_Assumptions!B10</f>
        <v>54023.76</v>
      </c>
      <c r="C14" s="37" t="n">
        <f aca="false">C6*02_Assumptions!C10</f>
        <v>58345.6608</v>
      </c>
      <c r="D14" s="37" t="n">
        <f aca="false">D6*02_Assumptions!D10</f>
        <v>62429.857056</v>
      </c>
      <c r="E14" s="37" t="n">
        <f aca="false">E6*02_Assumptions!E10</f>
        <v>66799.94704992</v>
      </c>
      <c r="F14" s="37" t="n">
        <f aca="false">F6*02_Assumptions!F10</f>
        <v>70807.9438729152</v>
      </c>
    </row>
    <row r="15" customFormat="false" ht="15" hidden="false" customHeight="true" outlineLevel="0" collapsed="false">
      <c r="A15" s="14" t="s">
        <v>165</v>
      </c>
      <c r="B15" s="37" t="n">
        <f aca="false">03_Historical!K35</f>
        <v>45852</v>
      </c>
      <c r="C15" s="24" t="n">
        <f aca="false">B14</f>
        <v>54023.76</v>
      </c>
      <c r="D15" s="24" t="n">
        <f aca="false">C14</f>
        <v>58345.6608</v>
      </c>
      <c r="E15" s="24" t="n">
        <f aca="false">D14</f>
        <v>62429.857056</v>
      </c>
      <c r="F15" s="24" t="n">
        <f aca="false">E14</f>
        <v>66799.94704992</v>
      </c>
    </row>
    <row r="16" customFormat="false" ht="15" hidden="false" customHeight="true" outlineLevel="0" collapsed="false">
      <c r="A16" s="4" t="s">
        <v>166</v>
      </c>
      <c r="B16" s="29" t="n">
        <f aca="false">B14-B15</f>
        <v>8171.76</v>
      </c>
      <c r="C16" s="29" t="n">
        <f aca="false">C14-C15</f>
        <v>4321.90080000001</v>
      </c>
      <c r="D16" s="29" t="n">
        <f aca="false">D14-D15</f>
        <v>4084.196256</v>
      </c>
      <c r="E16" s="29" t="n">
        <f aca="false">E14-E15</f>
        <v>4370.08999392001</v>
      </c>
      <c r="F16" s="29" t="n">
        <f aca="false">F14-F15</f>
        <v>4007.99682299521</v>
      </c>
    </row>
    <row r="18" customFormat="false" ht="15" hidden="false" customHeight="true" outlineLevel="0" collapsed="false">
      <c r="A18" s="6" t="s">
        <v>167</v>
      </c>
      <c r="B18" s="6"/>
      <c r="C18" s="6"/>
      <c r="D18" s="6"/>
      <c r="E18" s="6"/>
      <c r="F18" s="6"/>
    </row>
    <row r="19" customFormat="false" ht="15" hidden="false" customHeight="true" outlineLevel="0" collapsed="false">
      <c r="A19" s="14" t="s">
        <v>168</v>
      </c>
      <c r="B19" s="37" t="n">
        <f aca="false">B6*02_Assumptions!B12</f>
        <v>9840.042</v>
      </c>
      <c r="C19" s="37" t="n">
        <f aca="false">C6*02_Assumptions!C12</f>
        <v>10627.24536</v>
      </c>
      <c r="D19" s="37" t="n">
        <f aca="false">D6*02_Assumptions!D12</f>
        <v>11371.1525352</v>
      </c>
      <c r="E19" s="37" t="n">
        <f aca="false">E6*02_Assumptions!E12</f>
        <v>12167.133212664</v>
      </c>
      <c r="F19" s="37" t="n">
        <f aca="false">F6*02_Assumptions!F12</f>
        <v>12897.1612054238</v>
      </c>
    </row>
    <row r="20" customFormat="false" ht="15" hidden="false" customHeight="true" outlineLevel="0" collapsed="false">
      <c r="A20" s="4" t="s">
        <v>169</v>
      </c>
      <c r="B20" s="36" t="n">
        <f aca="false">B19*02_Assumptions!B13</f>
        <v>413.281764</v>
      </c>
      <c r="C20" s="36" t="n">
        <f aca="false">C19*02_Assumptions!C13</f>
        <v>446.34430512</v>
      </c>
      <c r="D20" s="36" t="n">
        <f aca="false">D19*02_Assumptions!D13</f>
        <v>477.5884064784</v>
      </c>
      <c r="E20" s="36" t="n">
        <f aca="false">E19*02_Assumptions!E13</f>
        <v>511.019594931888</v>
      </c>
      <c r="F20" s="36" t="n">
        <f aca="false">F19*02_Assumptions!F13</f>
        <v>541.680770627801</v>
      </c>
    </row>
    <row r="22" customFormat="false" ht="15" hidden="false" customHeight="true" outlineLevel="0" collapsed="false">
      <c r="A22" s="35" t="s">
        <v>170</v>
      </c>
      <c r="B22" s="35"/>
      <c r="C22" s="35"/>
      <c r="D22" s="35"/>
      <c r="E22" s="35"/>
      <c r="F22" s="35"/>
    </row>
    <row r="23" customFormat="false" ht="15" hidden="false" customHeight="true" outlineLevel="0" collapsed="false">
      <c r="A23" s="35"/>
      <c r="B23" s="35"/>
      <c r="C23" s="35"/>
      <c r="D23" s="35"/>
      <c r="E23" s="35"/>
      <c r="F23" s="35"/>
    </row>
    <row r="24" customFormat="false" ht="15" hidden="false" customHeight="true" outlineLevel="0" collapsed="false">
      <c r="A24" s="35"/>
      <c r="B24" s="35"/>
      <c r="C24" s="35"/>
      <c r="D24" s="35"/>
      <c r="E24" s="35"/>
      <c r="F24" s="35"/>
    </row>
  </sheetData>
  <mergeCells count="5">
    <mergeCell ref="A1:F1"/>
    <mergeCell ref="A5:F5"/>
    <mergeCell ref="A13:F13"/>
    <mergeCell ref="A18:F18"/>
    <mergeCell ref="A22: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2D30"/>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7" min="2" style="1" width="14"/>
  </cols>
  <sheetData>
    <row r="1" customFormat="false" ht="24" hidden="false" customHeight="true" outlineLevel="0" collapsed="false">
      <c r="A1" s="15" t="s">
        <v>171</v>
      </c>
      <c r="B1" s="15"/>
      <c r="C1" s="15"/>
      <c r="D1" s="15"/>
      <c r="E1" s="15"/>
      <c r="F1" s="15"/>
      <c r="G1" s="15"/>
    </row>
    <row r="2" customFormat="false" ht="15" hidden="false" customHeight="true" outlineLevel="0" collapsed="false">
      <c r="A2" s="39" t="s">
        <v>172</v>
      </c>
      <c r="B2" s="39"/>
      <c r="C2" s="39"/>
      <c r="D2" s="39"/>
      <c r="E2" s="39"/>
      <c r="F2" s="39"/>
      <c r="G2" s="39"/>
    </row>
    <row r="4" customFormat="false" ht="15" hidden="false" customHeight="true" outlineLevel="0" collapsed="false">
      <c r="A4" s="17" t="s">
        <v>99</v>
      </c>
      <c r="B4" s="17" t="s">
        <v>49</v>
      </c>
      <c r="C4" s="17" t="s">
        <v>50</v>
      </c>
      <c r="D4" s="17" t="s">
        <v>51</v>
      </c>
      <c r="E4" s="17" t="s">
        <v>52</v>
      </c>
      <c r="F4" s="17" t="s">
        <v>53</v>
      </c>
      <c r="G4" s="17" t="s">
        <v>173</v>
      </c>
    </row>
    <row r="6" customFormat="false" ht="15" hidden="false" customHeight="true" outlineLevel="0" collapsed="false">
      <c r="A6" s="14" t="s">
        <v>153</v>
      </c>
      <c r="B6" s="37" t="n">
        <f aca="false">04_Forecast_Model!B10</f>
        <v>40811.9259654746</v>
      </c>
      <c r="C6" s="37" t="n">
        <f aca="false">04_Forecast_Model!C10</f>
        <v>44076.8800427126</v>
      </c>
      <c r="D6" s="37" t="n">
        <f aca="false">04_Forecast_Model!D10</f>
        <v>48277.0805217025</v>
      </c>
      <c r="E6" s="37" t="n">
        <f aca="false">04_Forecast_Model!E10</f>
        <v>51656.4761582217</v>
      </c>
      <c r="F6" s="37" t="n">
        <f aca="false">04_Forecast_Model!F10</f>
        <v>56020.2922968742</v>
      </c>
    </row>
    <row r="7" customFormat="false" ht="15" hidden="false" customHeight="true" outlineLevel="0" collapsed="false">
      <c r="A7" s="14" t="s">
        <v>174</v>
      </c>
      <c r="B7" s="37" t="n">
        <f aca="false">B6*02_Assumptions!B11</f>
        <v>10755.4327990268</v>
      </c>
      <c r="C7" s="37" t="n">
        <f aca="false">C6*02_Assumptions!C11</f>
        <v>11615.8674229489</v>
      </c>
      <c r="D7" s="37" t="n">
        <f aca="false">D6*02_Assumptions!D11</f>
        <v>12722.7736256219</v>
      </c>
      <c r="E7" s="37" t="n">
        <f aca="false">E6*02_Assumptions!E11</f>
        <v>13613.3677794154</v>
      </c>
      <c r="F7" s="37" t="n">
        <f aca="false">F6*02_Assumptions!F11</f>
        <v>14763.3926830745</v>
      </c>
    </row>
    <row r="8" customFormat="false" ht="15" hidden="false" customHeight="true" outlineLevel="0" collapsed="false">
      <c r="A8" s="4" t="s">
        <v>175</v>
      </c>
      <c r="B8" s="29" t="n">
        <f aca="false">B6-B7</f>
        <v>30056.4931664479</v>
      </c>
      <c r="C8" s="29" t="n">
        <f aca="false">C6-C7</f>
        <v>32461.0126197637</v>
      </c>
      <c r="D8" s="29" t="n">
        <f aca="false">D6-D7</f>
        <v>35554.3068960806</v>
      </c>
      <c r="E8" s="29" t="n">
        <f aca="false">E6-E7</f>
        <v>38043.1083788062</v>
      </c>
      <c r="F8" s="29" t="n">
        <f aca="false">F6-F7</f>
        <v>41256.8996137997</v>
      </c>
    </row>
    <row r="9" customFormat="false" ht="15" hidden="false" customHeight="true" outlineLevel="0" collapsed="false">
      <c r="A9" s="14" t="s">
        <v>176</v>
      </c>
      <c r="B9" s="37" t="n">
        <f aca="false">04_Forecast_Model!B9</f>
        <v>5494.15403452537</v>
      </c>
      <c r="C9" s="37" t="n">
        <f aca="false">04_Forecast_Model!C9</f>
        <v>5933.6863572874</v>
      </c>
      <c r="D9" s="37" t="n">
        <f aca="false">04_Forecast_Model!D9</f>
        <v>6349.04440229752</v>
      </c>
      <c r="E9" s="37" t="n">
        <f aca="false">04_Forecast_Model!E9</f>
        <v>6793.47751045834</v>
      </c>
      <c r="F9" s="37" t="n">
        <f aca="false">04_Forecast_Model!F9</f>
        <v>7201.08616108585</v>
      </c>
    </row>
    <row r="10" customFormat="false" ht="15" hidden="false" customHeight="true" outlineLevel="0" collapsed="false">
      <c r="A10" s="14" t="s">
        <v>177</v>
      </c>
      <c r="B10" s="37" t="n">
        <f aca="false">05_Supporting_Schedules!B7</f>
        <v>7524.738</v>
      </c>
      <c r="C10" s="37" t="n">
        <f aca="false">05_Supporting_Schedules!C7</f>
        <v>8126.71704</v>
      </c>
      <c r="D10" s="37" t="n">
        <f aca="false">05_Supporting_Schedules!D7</f>
        <v>8695.5872328</v>
      </c>
      <c r="E10" s="37" t="n">
        <f aca="false">05_Supporting_Schedules!E7</f>
        <v>9304.278339096</v>
      </c>
      <c r="F10" s="37" t="n">
        <f aca="false">05_Supporting_Schedules!F7</f>
        <v>9862.53503944176</v>
      </c>
    </row>
    <row r="11" customFormat="false" ht="15" hidden="false" customHeight="true" outlineLevel="0" collapsed="false">
      <c r="A11" s="14" t="s">
        <v>178</v>
      </c>
      <c r="B11" s="37" t="n">
        <f aca="false">05_Supporting_Schedules!B16</f>
        <v>8171.76</v>
      </c>
      <c r="C11" s="37" t="n">
        <f aca="false">05_Supporting_Schedules!C16</f>
        <v>4321.90080000001</v>
      </c>
      <c r="D11" s="37" t="n">
        <f aca="false">05_Supporting_Schedules!D16</f>
        <v>4084.196256</v>
      </c>
      <c r="E11" s="37" t="n">
        <f aca="false">05_Supporting_Schedules!E16</f>
        <v>4370.08999392001</v>
      </c>
      <c r="F11" s="37" t="n">
        <f aca="false">05_Supporting_Schedules!F16</f>
        <v>4007.99682299521</v>
      </c>
    </row>
    <row r="12" customFormat="false" ht="15" hidden="false" customHeight="true" outlineLevel="0" collapsed="false">
      <c r="A12" s="4" t="s">
        <v>179</v>
      </c>
      <c r="B12" s="38" t="n">
        <f aca="false">B8+B9-B10-B11</f>
        <v>19854.1492009733</v>
      </c>
      <c r="C12" s="38" t="n">
        <f aca="false">C8+C9-C10-C11</f>
        <v>25946.0811370511</v>
      </c>
      <c r="D12" s="38" t="n">
        <f aca="false">D8+D9-D10-D11</f>
        <v>29123.5678095781</v>
      </c>
      <c r="E12" s="38" t="n">
        <f aca="false">E8+E9-E10-E11</f>
        <v>31162.2175562486</v>
      </c>
      <c r="F12" s="38" t="n">
        <f aca="false">F8+F9-F10-F11</f>
        <v>34587.4539124486</v>
      </c>
    </row>
    <row r="14" customFormat="false" ht="15" hidden="false" customHeight="true" outlineLevel="0" collapsed="false">
      <c r="A14" s="14" t="s">
        <v>180</v>
      </c>
      <c r="B14" s="28" t="n">
        <v>1</v>
      </c>
      <c r="C14" s="28" t="n">
        <v>2</v>
      </c>
      <c r="D14" s="28" t="n">
        <v>3</v>
      </c>
      <c r="E14" s="28" t="n">
        <v>4</v>
      </c>
      <c r="F14" s="28" t="n">
        <v>5</v>
      </c>
    </row>
    <row r="15" customFormat="false" ht="15" hidden="false" customHeight="true" outlineLevel="0" collapsed="false">
      <c r="A15" s="14" t="s">
        <v>181</v>
      </c>
      <c r="B15" s="40" t="n">
        <f aca="false">1/(1+02_Assumptions!$B$38)^B14</f>
        <v>0.891279317905925</v>
      </c>
      <c r="C15" s="40" t="n">
        <f aca="false">1/(1+02_Assumptions!$B$38)^C14</f>
        <v>0.794378822526851</v>
      </c>
      <c r="D15" s="40" t="n">
        <f aca="false">1/(1+02_Assumptions!$B$38)^D14</f>
        <v>0.708013415100643</v>
      </c>
      <c r="E15" s="40" t="n">
        <f aca="false">1/(1+02_Assumptions!$B$38)^E14</f>
        <v>0.631037713679146</v>
      </c>
      <c r="F15" s="40" t="n">
        <f aca="false">1/(1+02_Assumptions!$B$38)^F14</f>
        <v>0.562430863020863</v>
      </c>
    </row>
    <row r="16" customFormat="false" ht="15" hidden="false" customHeight="true" outlineLevel="0" collapsed="false">
      <c r="A16" s="4" t="s">
        <v>182</v>
      </c>
      <c r="B16" s="29" t="n">
        <f aca="false">B12*B15</f>
        <v>17695.5925574459</v>
      </c>
      <c r="C16" s="29" t="n">
        <f aca="false">C12*C15</f>
        <v>20611.0173828368</v>
      </c>
      <c r="D16" s="29" t="n">
        <f aca="false">D12*D15</f>
        <v>20619.8767047745</v>
      </c>
      <c r="E16" s="29" t="n">
        <f aca="false">E12*E15</f>
        <v>19664.5345198672</v>
      </c>
      <c r="F16" s="29" t="n">
        <f aca="false">F12*F15</f>
        <v>19453.0515536728</v>
      </c>
    </row>
    <row r="18" customFormat="false" ht="15" hidden="false" customHeight="true" outlineLevel="0" collapsed="false">
      <c r="A18" s="6" t="s">
        <v>183</v>
      </c>
      <c r="B18" s="6"/>
      <c r="C18" s="6"/>
      <c r="D18" s="6"/>
      <c r="E18" s="6"/>
      <c r="F18" s="6"/>
      <c r="G18" s="6"/>
    </row>
    <row r="19" customFormat="false" ht="15" hidden="false" customHeight="true" outlineLevel="0" collapsed="false">
      <c r="A19" s="4" t="s">
        <v>184</v>
      </c>
      <c r="B19" s="29" t="n">
        <f aca="false">SUM(B16:F16)</f>
        <v>98044.0727185972</v>
      </c>
    </row>
    <row r="20" customFormat="false" ht="15" hidden="false" customHeight="true" outlineLevel="0" collapsed="false">
      <c r="A20" s="14" t="s">
        <v>185</v>
      </c>
      <c r="B20" s="37" t="n">
        <f aca="false">F12*(1+02_Assumptions!$B$39)/(02_Assumptions!$B$38-02_Assumptions!$B$39)</f>
        <v>438762.568647562</v>
      </c>
    </row>
    <row r="21" customFormat="false" ht="15" hidden="false" customHeight="true" outlineLevel="0" collapsed="false">
      <c r="A21" s="4" t="s">
        <v>186</v>
      </c>
      <c r="B21" s="29" t="n">
        <f aca="false">B20*F15</f>
        <v>246773.610145699</v>
      </c>
    </row>
    <row r="22" customFormat="false" ht="15" hidden="false" customHeight="true" outlineLevel="0" collapsed="false">
      <c r="A22" s="4" t="s">
        <v>187</v>
      </c>
      <c r="B22" s="38" t="n">
        <f aca="false">B19+B21</f>
        <v>344817.682864296</v>
      </c>
    </row>
    <row r="23" customFormat="false" ht="15" hidden="false" customHeight="true" outlineLevel="0" collapsed="false">
      <c r="A23" s="31" t="s">
        <v>188</v>
      </c>
      <c r="B23" s="32" t="n">
        <f aca="false">B21/B22</f>
        <v>0.715664023073948</v>
      </c>
    </row>
    <row r="25" customFormat="false" ht="15" hidden="false" customHeight="true" outlineLevel="0" collapsed="false">
      <c r="A25" s="14" t="s">
        <v>189</v>
      </c>
      <c r="B25" s="37" t="n">
        <f aca="false">-02_Assumptions!$B$34</f>
        <v>-9176</v>
      </c>
    </row>
    <row r="26" customFormat="false" ht="15" hidden="false" customHeight="true" outlineLevel="0" collapsed="false">
      <c r="A26" s="14" t="s">
        <v>190</v>
      </c>
      <c r="B26" s="37" t="n">
        <f aca="false">02_Assumptions!$B$35</f>
        <v>21880</v>
      </c>
    </row>
    <row r="27" customFormat="false" ht="15" hidden="false" customHeight="true" outlineLevel="0" collapsed="false">
      <c r="A27" s="4" t="s">
        <v>191</v>
      </c>
      <c r="B27" s="38" t="n">
        <f aca="false">B22+B25+B26</f>
        <v>357521.682864296</v>
      </c>
    </row>
    <row r="28" customFormat="false" ht="15" hidden="false" customHeight="true" outlineLevel="0" collapsed="false">
      <c r="A28" s="14" t="s">
        <v>192</v>
      </c>
      <c r="B28" s="40" t="n">
        <f aca="false">02_Assumptions!$B$32</f>
        <v>405.9</v>
      </c>
    </row>
    <row r="29" customFormat="false" ht="15" hidden="false" customHeight="true" outlineLevel="0" collapsed="false">
      <c r="A29" s="4" t="s">
        <v>193</v>
      </c>
      <c r="B29" s="41" t="n">
        <f aca="false">B27/B28</f>
        <v>880.812226815216</v>
      </c>
    </row>
    <row r="30" customFormat="false" ht="15" hidden="false" customHeight="true" outlineLevel="0" collapsed="false">
      <c r="A30" s="14" t="s">
        <v>194</v>
      </c>
      <c r="B30" s="42" t="n">
        <f aca="false">02_Assumptions!$B$31</f>
        <v>1190.7</v>
      </c>
    </row>
    <row r="31" customFormat="false" ht="15" hidden="false" customHeight="true" outlineLevel="0" collapsed="false">
      <c r="A31" s="4" t="s">
        <v>195</v>
      </c>
      <c r="B31" s="43" t="n">
        <f aca="false">B29/B30-1</f>
        <v>-0.260256801196594</v>
      </c>
    </row>
    <row r="33" customFormat="false" ht="15" hidden="false" customHeight="true" outlineLevel="0" collapsed="false">
      <c r="A33" s="35" t="s">
        <v>196</v>
      </c>
      <c r="B33" s="35"/>
      <c r="C33" s="35"/>
      <c r="D33" s="35"/>
      <c r="E33" s="35"/>
      <c r="F33" s="35"/>
      <c r="G33" s="35"/>
    </row>
    <row r="34" customFormat="false" ht="15" hidden="false" customHeight="true" outlineLevel="0" collapsed="false">
      <c r="A34" s="35"/>
      <c r="B34" s="35"/>
      <c r="C34" s="35"/>
      <c r="D34" s="35"/>
      <c r="E34" s="35"/>
      <c r="F34" s="35"/>
      <c r="G34" s="35"/>
    </row>
  </sheetData>
  <mergeCells count="4">
    <mergeCell ref="A1:G1"/>
    <mergeCell ref="A2:G2"/>
    <mergeCell ref="A18:G18"/>
    <mergeCell ref="A33: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M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6" min="2" style="1" width="10"/>
    <col collapsed="false" customWidth="true" hidden="false" outlineLevel="0" max="9" min="7" style="1" width="14"/>
    <col collapsed="false" customWidth="true" hidden="false" outlineLevel="0" max="10" min="10" style="1" width="20"/>
  </cols>
  <sheetData>
    <row r="1" customFormat="false" ht="24" hidden="false" customHeight="true" outlineLevel="0" collapsed="false">
      <c r="A1" s="15" t="s">
        <v>197</v>
      </c>
      <c r="B1" s="15"/>
      <c r="C1" s="15"/>
      <c r="D1" s="15"/>
      <c r="E1" s="15"/>
      <c r="F1" s="15"/>
      <c r="G1" s="15"/>
      <c r="H1" s="15"/>
      <c r="I1" s="15"/>
      <c r="J1" s="15"/>
    </row>
    <row r="2" customFormat="false" ht="30" hidden="false" customHeight="true" outlineLevel="0" collapsed="false">
      <c r="A2" s="16" t="s">
        <v>198</v>
      </c>
      <c r="B2" s="16"/>
      <c r="C2" s="16"/>
      <c r="D2" s="16"/>
      <c r="E2" s="16"/>
      <c r="F2" s="16"/>
      <c r="G2" s="16"/>
      <c r="H2" s="16"/>
      <c r="I2" s="16"/>
      <c r="J2" s="16"/>
    </row>
    <row r="4" customFormat="false" ht="15" hidden="false" customHeight="true" outlineLevel="0" collapsed="false">
      <c r="A4" s="17" t="s">
        <v>2</v>
      </c>
      <c r="B4" s="17" t="s">
        <v>199</v>
      </c>
      <c r="C4" s="17" t="s">
        <v>200</v>
      </c>
      <c r="D4" s="17" t="s">
        <v>201</v>
      </c>
      <c r="E4" s="17" t="s">
        <v>202</v>
      </c>
      <c r="F4" s="17" t="s">
        <v>203</v>
      </c>
      <c r="G4" s="17" t="s">
        <v>204</v>
      </c>
      <c r="H4" s="17" t="s">
        <v>205</v>
      </c>
      <c r="I4" s="17" t="s">
        <v>206</v>
      </c>
      <c r="J4" s="17" t="s">
        <v>207</v>
      </c>
    </row>
    <row r="5" customFormat="false" ht="15" hidden="false" customHeight="true" outlineLevel="0" collapsed="false">
      <c r="A5" s="14" t="s">
        <v>208</v>
      </c>
      <c r="B5" s="44" t="n">
        <v>2439</v>
      </c>
      <c r="C5" s="44" t="n">
        <v>882433</v>
      </c>
      <c r="D5" s="44" t="n">
        <v>49454</v>
      </c>
      <c r="E5" s="44" t="n">
        <v>72398</v>
      </c>
      <c r="F5" s="44" t="n">
        <v>267021</v>
      </c>
      <c r="G5" s="45" t="n">
        <f aca="false">C5/D5</f>
        <v>17.843511141667</v>
      </c>
      <c r="H5" s="45" t="n">
        <f aca="false">(C5+K5-L5)/E5</f>
        <v>11.8750241719385</v>
      </c>
      <c r="I5" s="45" t="n">
        <f aca="false">(C5+K5-L5)/F5</f>
        <v>3.21970182120507</v>
      </c>
      <c r="J5" s="45" t="n">
        <f aca="false">B5/M5</f>
        <v>8.23986486486487</v>
      </c>
      <c r="K5" s="1" t="n">
        <v>11283</v>
      </c>
      <c r="L5" s="1" t="n">
        <v>33988</v>
      </c>
      <c r="M5" s="1" t="n">
        <v>296</v>
      </c>
    </row>
    <row r="6" customFormat="false" ht="15" hidden="false" customHeight="true" outlineLevel="0" collapsed="false">
      <c r="A6" s="14" t="s">
        <v>209</v>
      </c>
      <c r="B6" s="44" t="n">
        <v>1355</v>
      </c>
      <c r="C6" s="44" t="n">
        <v>367702</v>
      </c>
      <c r="D6" s="44" t="n">
        <v>16652</v>
      </c>
      <c r="E6" s="44" t="n">
        <v>26752</v>
      </c>
      <c r="F6" s="44" t="n">
        <v>130144</v>
      </c>
      <c r="G6" s="45" t="n">
        <f aca="false">C6/D6</f>
        <v>22.0815517655537</v>
      </c>
      <c r="H6" s="45" t="n">
        <f aca="false">(C6+K6-L6)/E6</f>
        <v>13.6747532894737</v>
      </c>
      <c r="I6" s="45" t="n">
        <f aca="false">(C6+K6-L6)/F6</f>
        <v>2.81094018932874</v>
      </c>
      <c r="J6" s="45" t="n">
        <f aca="false">B6/M6</f>
        <v>4.89169675090253</v>
      </c>
      <c r="K6" s="1" t="n">
        <v>5215</v>
      </c>
      <c r="L6" s="1" t="n">
        <v>7090</v>
      </c>
      <c r="M6" s="1" t="n">
        <v>277</v>
      </c>
    </row>
    <row r="7" customFormat="false" ht="15" hidden="false" customHeight="true" outlineLevel="0" collapsed="false">
      <c r="A7" s="14" t="s">
        <v>210</v>
      </c>
      <c r="B7" s="44" t="n">
        <v>184</v>
      </c>
      <c r="C7" s="44" t="n">
        <v>182241</v>
      </c>
      <c r="D7" s="44" t="n">
        <v>13266</v>
      </c>
      <c r="E7" s="44" t="n">
        <v>17811</v>
      </c>
      <c r="F7" s="44" t="n">
        <v>92624</v>
      </c>
      <c r="G7" s="45" t="n">
        <f aca="false">C7/D7</f>
        <v>13.7374491180461</v>
      </c>
      <c r="H7" s="45" t="n">
        <f aca="false">(C7+K7-L7)/E7</f>
        <v>8.7443714558419</v>
      </c>
      <c r="I7" s="45" t="n">
        <f aca="false">(C7+K7-L7)/F7</f>
        <v>1.68148643979962</v>
      </c>
      <c r="J7" s="45" t="n">
        <f aca="false">B7/M7</f>
        <v>2.19047619047619</v>
      </c>
      <c r="K7" s="1" t="n">
        <v>20291</v>
      </c>
      <c r="L7" s="1" t="n">
        <v>46786</v>
      </c>
      <c r="M7" s="1" t="n">
        <v>84</v>
      </c>
    </row>
    <row r="8" customFormat="false" ht="15" hidden="false" customHeight="true" outlineLevel="0" collapsed="false">
      <c r="A8" s="14" t="s">
        <v>211</v>
      </c>
      <c r="B8" s="44" t="n">
        <v>4734</v>
      </c>
      <c r="C8" s="44" t="n">
        <v>140432</v>
      </c>
      <c r="D8" s="44" t="n">
        <v>4983</v>
      </c>
      <c r="E8" s="44" t="n">
        <v>7555</v>
      </c>
      <c r="F8" s="44" t="n">
        <v>42308</v>
      </c>
      <c r="G8" s="45" t="n">
        <f aca="false">C8/D8</f>
        <v>28.182219546458</v>
      </c>
      <c r="H8" s="45" t="n">
        <f aca="false">(C8+K8-L8)/E8</f>
        <v>17.2301786896095</v>
      </c>
      <c r="I8" s="45" t="n">
        <f aca="false">(C8+K8-L8)/F8</f>
        <v>3.07681762314456</v>
      </c>
      <c r="J8" s="45" t="n">
        <f aca="false">B8/M8</f>
        <v>5.84444444444444</v>
      </c>
      <c r="K8" s="1" t="n">
        <v>2310</v>
      </c>
      <c r="L8" s="1" t="n">
        <v>12568</v>
      </c>
      <c r="M8" s="1" t="n">
        <v>810</v>
      </c>
    </row>
    <row r="9" customFormat="false" ht="15" hidden="false" customHeight="true" outlineLevel="0" collapsed="false">
      <c r="A9" s="14" t="s">
        <v>212</v>
      </c>
      <c r="B9" s="44" t="n">
        <v>1644</v>
      </c>
      <c r="C9" s="44" t="n">
        <v>161146</v>
      </c>
      <c r="D9" s="44" t="n">
        <v>4806</v>
      </c>
      <c r="E9" s="44" t="n">
        <v>9033</v>
      </c>
      <c r="F9" s="44" t="n">
        <v>56815</v>
      </c>
      <c r="G9" s="45" t="n">
        <f aca="false">C9/D9</f>
        <v>33.5301706200583</v>
      </c>
      <c r="H9" s="45" t="n">
        <f aca="false">(C9+K9-L9)/E9</f>
        <v>17.7024244437064</v>
      </c>
      <c r="I9" s="45" t="n">
        <f aca="false">(C9+K9-L9)/F9</f>
        <v>2.81450321217988</v>
      </c>
      <c r="J9" s="45" t="n">
        <f aca="false">B9/M9</f>
        <v>5.44370860927152</v>
      </c>
      <c r="K9" s="1" t="n">
        <v>2186</v>
      </c>
      <c r="L9" s="1" t="n">
        <v>3426</v>
      </c>
      <c r="M9" s="1" t="n">
        <v>302</v>
      </c>
    </row>
    <row r="10" customFormat="false" ht="15" hidden="false" customHeight="true" outlineLevel="0" collapsed="false">
      <c r="A10" s="14" t="s">
        <v>213</v>
      </c>
      <c r="B10" s="44" t="n">
        <v>5464</v>
      </c>
      <c r="C10" s="44" t="n">
        <v>86195</v>
      </c>
      <c r="D10" s="44" t="n">
        <v>1865</v>
      </c>
      <c r="E10" s="44" t="n">
        <v>2796</v>
      </c>
      <c r="F10" s="44" t="n">
        <v>14748</v>
      </c>
      <c r="G10" s="45" t="n">
        <f aca="false">C10/D10</f>
        <v>46.2171581769437</v>
      </c>
      <c r="H10" s="45" t="n">
        <f aca="false">(C10+K10-L10)/E10</f>
        <v>30.4209585121602</v>
      </c>
      <c r="I10" s="45" t="n">
        <f aca="false">(C10+K10-L10)/F10</f>
        <v>5.76735828586927</v>
      </c>
      <c r="J10" s="45" t="n">
        <f aca="false">B10/M10</f>
        <v>10.9939637826962</v>
      </c>
      <c r="K10" s="1" t="n">
        <v>477</v>
      </c>
      <c r="L10" s="1" t="n">
        <v>1615</v>
      </c>
      <c r="M10" s="1" t="n">
        <v>497</v>
      </c>
    </row>
    <row r="12" customFormat="false" ht="15" hidden="false" customHeight="true" outlineLevel="0" collapsed="false">
      <c r="A12" s="4" t="s">
        <v>214</v>
      </c>
      <c r="G12" s="46" t="n">
        <f aca="false">MEDIAN(G5:G10)</f>
        <v>25.1318856560058</v>
      </c>
      <c r="H12" s="46" t="n">
        <f aca="false">MEDIAN(H5:H10)</f>
        <v>15.4524659895416</v>
      </c>
      <c r="I12" s="46" t="n">
        <f aca="false">MEDIAN(I5:I10)</f>
        <v>2.94566041766222</v>
      </c>
      <c r="J12" s="46" t="n">
        <f aca="false">MEDIAN(J5:J10)</f>
        <v>5.64407652685798</v>
      </c>
    </row>
    <row r="13" customFormat="false" ht="15" hidden="false" customHeight="true" outlineLevel="0" collapsed="false">
      <c r="A13" s="4" t="s">
        <v>215</v>
      </c>
      <c r="G13" s="46" t="n">
        <f aca="false">AVERAGE(G5:G10)</f>
        <v>26.9320100614545</v>
      </c>
      <c r="H13" s="46" t="n">
        <f aca="false">AVERAGE(H5:H10)</f>
        <v>16.607951760455</v>
      </c>
      <c r="I13" s="46" t="n">
        <f aca="false">AVERAGE(I5:I10)</f>
        <v>3.22846792858786</v>
      </c>
      <c r="J13" s="46" t="n">
        <f aca="false">AVERAGE(J5:J10)</f>
        <v>6.26735910710929</v>
      </c>
    </row>
    <row r="15" customFormat="false" ht="15" hidden="false" customHeight="true" outlineLevel="0" collapsed="false">
      <c r="A15" s="6" t="s">
        <v>216</v>
      </c>
      <c r="B15" s="6"/>
      <c r="C15" s="6"/>
      <c r="D15" s="6"/>
      <c r="E15" s="6"/>
      <c r="F15" s="6"/>
      <c r="G15" s="6"/>
      <c r="H15" s="6"/>
      <c r="I15" s="6"/>
      <c r="J15" s="6"/>
    </row>
    <row r="16" customFormat="false" ht="15" hidden="false" customHeight="true" outlineLevel="0" collapsed="false">
      <c r="A16" s="14" t="s">
        <v>217</v>
      </c>
      <c r="B16" s="37" t="n">
        <f aca="false">03_Historical!K15</f>
        <v>29474</v>
      </c>
    </row>
    <row r="17" customFormat="false" ht="15" hidden="false" customHeight="true" outlineLevel="0" collapsed="false">
      <c r="A17" s="14" t="s">
        <v>218</v>
      </c>
      <c r="C17" s="37" t="n">
        <f aca="false">03_Historical!K8</f>
        <v>42280</v>
      </c>
    </row>
    <row r="18" customFormat="false" ht="15" hidden="false" customHeight="true" outlineLevel="0" collapsed="false">
      <c r="A18" s="14" t="s">
        <v>219</v>
      </c>
      <c r="D18" s="37" t="n">
        <f aca="false">03_Historical!K6</f>
        <v>178650</v>
      </c>
    </row>
    <row r="19" customFormat="false" ht="15" hidden="false" customHeight="true" outlineLevel="0" collapsed="false">
      <c r="A19" s="14" t="s">
        <v>220</v>
      </c>
      <c r="E19" s="37" t="n">
        <f aca="false">02_Assumptions!$B$33</f>
        <v>483305.13</v>
      </c>
    </row>
    <row r="20" customFormat="false" ht="15" hidden="false" customHeight="true" outlineLevel="0" collapsed="false">
      <c r="A20" s="14" t="s">
        <v>221</v>
      </c>
      <c r="F20" s="37" t="n">
        <f aca="false">02_Assumptions!$B$34</f>
        <v>9176</v>
      </c>
    </row>
    <row r="21" customFormat="false" ht="15" hidden="false" customHeight="true" outlineLevel="0" collapsed="false">
      <c r="A21" s="14" t="s">
        <v>222</v>
      </c>
      <c r="G21" s="37" t="n">
        <f aca="false">02_Assumptions!$B$35</f>
        <v>21880</v>
      </c>
    </row>
    <row r="23" customFormat="false" ht="15" hidden="false" customHeight="true" outlineLevel="0" collapsed="false">
      <c r="A23" s="6" t="s">
        <v>223</v>
      </c>
      <c r="B23" s="6"/>
      <c r="C23" s="6"/>
      <c r="D23" s="6"/>
      <c r="E23" s="6"/>
      <c r="F23" s="6"/>
      <c r="G23" s="6"/>
      <c r="H23" s="6"/>
      <c r="I23" s="6"/>
      <c r="J23" s="6"/>
    </row>
    <row r="24" customFormat="false" ht="15" hidden="false" customHeight="true" outlineLevel="0" collapsed="false">
      <c r="A24" s="17" t="s">
        <v>224</v>
      </c>
      <c r="B24" s="17" t="s">
        <v>225</v>
      </c>
      <c r="C24" s="17" t="s">
        <v>214</v>
      </c>
      <c r="D24" s="17" t="s">
        <v>226</v>
      </c>
      <c r="E24" s="17" t="s">
        <v>227</v>
      </c>
      <c r="F24" s="17" t="s">
        <v>228</v>
      </c>
      <c r="G24" s="17" t="s">
        <v>229</v>
      </c>
    </row>
    <row r="25" customFormat="false" ht="15" hidden="false" customHeight="true" outlineLevel="0" collapsed="false">
      <c r="A25" s="4" t="s">
        <v>204</v>
      </c>
      <c r="B25" s="14" t="s">
        <v>230</v>
      </c>
      <c r="D25" s="29" t="n">
        <f aca="false">G12*B16</f>
        <v>740737.197825116</v>
      </c>
      <c r="E25" s="47" t="n">
        <f aca="false">D25/02_Assumptions!$B$32</f>
        <v>1824.92534571351</v>
      </c>
      <c r="F25" s="48" t="n">
        <f aca="false">02_Assumptions!$B$31</f>
        <v>1190.7</v>
      </c>
      <c r="G25" s="21" t="n">
        <f aca="false">E25/F25-1</f>
        <v>0.532649152358709</v>
      </c>
    </row>
    <row r="26" customFormat="false" ht="15" hidden="false" customHeight="true" outlineLevel="0" collapsed="false">
      <c r="A26" s="4" t="s">
        <v>205</v>
      </c>
      <c r="B26" s="14" t="s">
        <v>231</v>
      </c>
      <c r="D26" s="29" t="n">
        <f aca="false">H12*C17-F20+G21</f>
        <v>666034.262037819</v>
      </c>
      <c r="E26" s="47" t="n">
        <f aca="false">D26/02_Assumptions!$B$32</f>
        <v>1640.88263621044</v>
      </c>
      <c r="F26" s="48" t="n">
        <f aca="false">02_Assumptions!$B$31</f>
        <v>1190.7</v>
      </c>
      <c r="G26" s="21" t="n">
        <f aca="false">E26/F26-1</f>
        <v>0.378082334937805</v>
      </c>
    </row>
    <row r="27" customFormat="false" ht="15" hidden="false" customHeight="true" outlineLevel="0" collapsed="false">
      <c r="A27" s="4" t="s">
        <v>206</v>
      </c>
      <c r="B27" s="14" t="s">
        <v>232</v>
      </c>
      <c r="D27" s="29" t="n">
        <f aca="false">I12*D18-F20+G21</f>
        <v>538946.233615356</v>
      </c>
      <c r="E27" s="47" t="n">
        <f aca="false">D27/02_Assumptions!$B$32</f>
        <v>1327.78081698782</v>
      </c>
      <c r="F27" s="48" t="n">
        <f aca="false">02_Assumptions!$B$31</f>
        <v>1190.7</v>
      </c>
      <c r="G27" s="21" t="n">
        <f aca="false">E27/F27-1</f>
        <v>0.115126242536171</v>
      </c>
    </row>
    <row r="30" customFormat="false" ht="15" hidden="false" customHeight="true" outlineLevel="0" collapsed="false">
      <c r="A30" s="35" t="s">
        <v>233</v>
      </c>
      <c r="B30" s="35"/>
      <c r="C30" s="35"/>
      <c r="D30" s="35"/>
      <c r="E30" s="35"/>
      <c r="F30" s="35"/>
      <c r="G30" s="35"/>
      <c r="H30" s="35"/>
      <c r="I30" s="35"/>
      <c r="J30" s="35"/>
    </row>
    <row r="31" customFormat="false" ht="15" hidden="false" customHeight="true" outlineLevel="0" collapsed="false">
      <c r="A31" s="35"/>
      <c r="B31" s="35"/>
      <c r="C31" s="35"/>
      <c r="D31" s="35"/>
      <c r="E31" s="35"/>
      <c r="F31" s="35"/>
      <c r="G31" s="35"/>
      <c r="H31" s="35"/>
      <c r="I31" s="35"/>
      <c r="J31" s="35"/>
    </row>
    <row r="32" customFormat="false" ht="15" hidden="false" customHeight="true" outlineLevel="0" collapsed="false">
      <c r="A32" s="35"/>
      <c r="B32" s="35"/>
      <c r="C32" s="35"/>
      <c r="D32" s="35"/>
      <c r="E32" s="35"/>
      <c r="F32" s="35"/>
      <c r="G32" s="35"/>
      <c r="H32" s="35"/>
      <c r="I32" s="35"/>
      <c r="J32" s="35"/>
    </row>
    <row r="33" customFormat="false" ht="15" hidden="false" customHeight="true" outlineLevel="0" collapsed="false">
      <c r="A33" s="35"/>
      <c r="B33" s="35"/>
      <c r="C33" s="35"/>
      <c r="D33" s="35"/>
      <c r="E33" s="35"/>
      <c r="F33" s="35"/>
      <c r="G33" s="35"/>
      <c r="H33" s="35"/>
      <c r="I33" s="35"/>
      <c r="J33" s="35"/>
    </row>
    <row r="34" customFormat="false" ht="15" hidden="false" customHeight="true" outlineLevel="0" collapsed="false">
      <c r="A34" s="35"/>
      <c r="B34" s="35"/>
      <c r="C34" s="35"/>
      <c r="D34" s="35"/>
      <c r="E34" s="35"/>
      <c r="F34" s="35"/>
      <c r="G34" s="35"/>
      <c r="H34" s="35"/>
      <c r="I34" s="35"/>
      <c r="J34" s="35"/>
    </row>
  </sheetData>
  <mergeCells count="5">
    <mergeCell ref="A1:J1"/>
    <mergeCell ref="A2:J2"/>
    <mergeCell ref="A15:J15"/>
    <mergeCell ref="A23:J23"/>
    <mergeCell ref="A30:J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12"/>
    <col collapsed="false" customWidth="true" hidden="false" outlineLevel="0" max="5" min="5" style="1" width="50"/>
    <col collapsed="false" customWidth="true" hidden="false" outlineLevel="0" max="13" min="6" style="1" width="12"/>
  </cols>
  <sheetData>
    <row r="1" customFormat="false" ht="24" hidden="false" customHeight="true" outlineLevel="0" collapsed="false">
      <c r="A1" s="15" t="s">
        <v>234</v>
      </c>
      <c r="B1" s="15"/>
      <c r="C1" s="15"/>
      <c r="D1" s="15"/>
      <c r="E1" s="15"/>
      <c r="F1" s="15"/>
      <c r="G1" s="15"/>
      <c r="H1" s="15"/>
      <c r="I1" s="15"/>
      <c r="J1" s="15"/>
      <c r="K1" s="15"/>
      <c r="L1" s="15"/>
      <c r="M1" s="15"/>
    </row>
    <row r="3" customFormat="false" ht="15" hidden="false" customHeight="true" outlineLevel="0" collapsed="false">
      <c r="A3" s="6" t="s">
        <v>235</v>
      </c>
      <c r="B3" s="6"/>
      <c r="C3" s="6"/>
      <c r="D3" s="6"/>
      <c r="E3" s="6"/>
      <c r="F3" s="6"/>
      <c r="G3" s="6"/>
      <c r="H3" s="6"/>
      <c r="I3" s="6"/>
      <c r="J3" s="6"/>
      <c r="K3" s="6"/>
      <c r="L3" s="6"/>
      <c r="M3" s="6"/>
    </row>
    <row r="4" customFormat="false" ht="15" hidden="false" customHeight="true" outlineLevel="0" collapsed="false">
      <c r="A4" s="4" t="s">
        <v>236</v>
      </c>
      <c r="B4" s="49" t="n">
        <v>0.08</v>
      </c>
      <c r="C4" s="49" t="n">
        <v>0.09</v>
      </c>
      <c r="D4" s="49" t="n">
        <v>0.1</v>
      </c>
      <c r="E4" s="49" t="n">
        <v>0.11</v>
      </c>
      <c r="F4" s="49" t="n">
        <v>0.12</v>
      </c>
    </row>
    <row r="5" customFormat="false" ht="15" hidden="false" customHeight="true" outlineLevel="0" collapsed="false">
      <c r="A5" s="50" t="n">
        <v>0.03</v>
      </c>
      <c r="B5" s="48" t="n">
        <f aca="false">(((06_DCF!B12/(1+0.08)^1+06_DCF!C12/(1+0.08)^2+06_DCF!D12/(1+0.08)^3+06_DCF!E12/(1+0.08)^4+06_DCF!F12/(1+0.08)^5)+06_DCF!F12*(1+0.03)/(0.08-0.03)/(1+0.08)^5)-02_Assumptions!$B$34+02_Assumptions!$B$35)/02_Assumptions!$B$32</f>
        <v>1497.444357027</v>
      </c>
      <c r="C5" s="48" t="n">
        <f aca="false">(((06_DCF!B12/(1+0.09)^1+06_DCF!C12/(1+0.09)^2+06_DCF!D12/(1+0.09)^3+06_DCF!E12/(1+0.09)^4+06_DCF!F12/(1+0.09)^5)+06_DCF!F12*(1+0.03)/(0.09-0.03)/(1+0.09)^5)-02_Assumptions!$B$34+02_Assumptions!$B$35)/02_Assumptions!$B$32</f>
        <v>1245.87096322299</v>
      </c>
      <c r="D5" s="48" t="n">
        <f aca="false">(((06_DCF!B12/(1+0.1)^1+06_DCF!C12/(1+0.1)^2+06_DCF!D12/(1+0.1)^3+06_DCF!E12/(1+0.1)^4+06_DCF!F12/(1+0.1)^5)+06_DCF!F12*(1+0.03)/(0.1-0.03)/(1+0.1)^5)-02_Assumptions!$B$34+02_Assumptions!$B$35)/02_Assumptions!$B$32</f>
        <v>1066.37799339845</v>
      </c>
      <c r="E5" s="48" t="n">
        <f aca="false">(((06_DCF!B12/(1+0.11)^1+06_DCF!C12/(1+0.11)^2+06_DCF!D12/(1+0.11)^3+06_DCF!E12/(1+0.11)^4+06_DCF!F12/(1+0.11)^5)+06_DCF!F12*(1+0.03)/(0.11-0.03)/(1+0.11)^5)-02_Assumptions!$B$34+02_Assumptions!$B$35)/02_Assumptions!$B$32</f>
        <v>931.927327473771</v>
      </c>
      <c r="F5" s="48" t="n">
        <f aca="false">(((06_DCF!B12/(1+0.12)^1+06_DCF!C12/(1+0.12)^2+06_DCF!D12/(1+0.12)^3+06_DCF!E12/(1+0.12)^4+06_DCF!F12/(1+0.12)^5)+06_DCF!F12*(1+0.03)/(0.12-0.03)/(1+0.12)^5)-02_Assumptions!$B$34+02_Assumptions!$B$35)/02_Assumptions!$B$32</f>
        <v>827.498180930329</v>
      </c>
    </row>
    <row r="6" customFormat="false" ht="15" hidden="false" customHeight="true" outlineLevel="0" collapsed="false">
      <c r="A6" s="50" t="n">
        <v>0.035</v>
      </c>
      <c r="B6" s="48" t="n">
        <f aca="false">(((06_DCF!B12/(1+0.08)^1+06_DCF!C12/(1+0.08)^2+06_DCF!D12/(1+0.08)^3+06_DCF!E12/(1+0.08)^4+06_DCF!F12/(1+0.08)^5)+06_DCF!F12*(1+0.035)/(0.08-0.035)/(1+0.08)^5)-02_Assumptions!$B$34+02_Assumptions!$B$35)/02_Assumptions!$B$32</f>
        <v>1636.62922006317</v>
      </c>
      <c r="C6" s="48" t="n">
        <f aca="false">(((06_DCF!B12/(1+0.09)^1+06_DCF!C12/(1+0.09)^2+06_DCF!D12/(1+0.09)^3+06_DCF!E12/(1+0.09)^4+06_DCF!F12/(1+0.09)^5)+06_DCF!F12*(1+0.035)/(0.09-0.035)/(1+0.09)^5)-02_Assumptions!$B$34+02_Assumptions!$B$35)/02_Assumptions!$B$32</f>
        <v>1337.33484198897</v>
      </c>
      <c r="D6" s="48" t="n">
        <f aca="false">(((06_DCF!B12/(1+0.1)^1+06_DCF!C12/(1+0.1)^2+06_DCF!D12/(1+0.1)^3+06_DCF!E12/(1+0.1)^4+06_DCF!F12/(1+0.1)^5)+06_DCF!F12*(1+0.035)/(0.1-0.035)/(1+0.1)^5)-02_Assumptions!$B$34+02_Assumptions!$B$35)/02_Assumptions!$B$32</f>
        <v>1130.3348939749</v>
      </c>
      <c r="E6" s="48" t="n">
        <f aca="false">(((06_DCF!B12/(1+0.11)^1+06_DCF!C12/(1+0.11)^2+06_DCF!D12/(1+0.11)^3+06_DCF!E12/(1+0.11)^4+06_DCF!F12/(1+0.11)^5)+06_DCF!F12*(1+0.035)/(0.11-0.035)/(1+0.11)^5)-02_Assumptions!$B$34+02_Assumptions!$B$35)/02_Assumptions!$B$32</f>
        <v>978.703682916291</v>
      </c>
      <c r="F6" s="48" t="n">
        <f aca="false">(((06_DCF!B12/(1+0.12)^1+06_DCF!C12/(1+0.12)^2+06_DCF!D12/(1+0.12)^3+06_DCF!E12/(1+0.12)^4+06_DCF!F12/(1+0.12)^5)+06_DCF!F12*(1+0.035)/(0.12-0.035)/(1+0.12)^5)-02_Assumptions!$B$34+02_Assumptions!$B$35)/02_Assumptions!$B$32</f>
        <v>862.89270040751</v>
      </c>
    </row>
    <row r="7" customFormat="false" ht="15" hidden="false" customHeight="true" outlineLevel="0" collapsed="false">
      <c r="A7" s="50" t="n">
        <v>0.04</v>
      </c>
      <c r="B7" s="48" t="n">
        <f aca="false">(((06_DCF!B12/(1+0.08)^1+06_DCF!C12/(1+0.08)^2+06_DCF!D12/(1+0.08)^3+06_DCF!E12/(1+0.08)^4+06_DCF!F12/(1+0.08)^5)+06_DCF!F12*(1+0.04)/(0.08-0.04)/(1+0.08)^5)-02_Assumptions!$B$34+02_Assumptions!$B$35)/02_Assumptions!$B$32</f>
        <v>1810.61029885838</v>
      </c>
      <c r="C7" s="48" t="n">
        <f aca="false">(((06_DCF!B12/(1+0.09)^1+06_DCF!C12/(1+0.09)^2+06_DCF!D12/(1+0.09)^3+06_DCF!E12/(1+0.09)^4+06_DCF!F12/(1+0.09)^5)+06_DCF!F12*(1+0.04)/(0.09-0.04)/(1+0.09)^5)-02_Assumptions!$B$34+02_Assumptions!$B$35)/02_Assumptions!$B$32</f>
        <v>1447.09149650815</v>
      </c>
      <c r="D7" s="51" t="n">
        <f aca="false">(((06_DCF!B12/(1+0.1)^1+06_DCF!C12/(1+0.1)^2+06_DCF!D12/(1+0.1)^3+06_DCF!E12/(1+0.1)^4+06_DCF!F12/(1+0.1)^5)+06_DCF!F12*(1+0.04)/(0.1-0.04)/(1+0.1)^5)-02_Assumptions!$B$34+02_Assumptions!$B$35)/02_Assumptions!$B$32</f>
        <v>1204.95127798075</v>
      </c>
      <c r="E7" s="48" t="n">
        <f aca="false">(((06_DCF!B12/(1+0.11)^1+06_DCF!C12/(1+0.11)^2+06_DCF!D12/(1+0.11)^3+06_DCF!E12/(1+0.11)^4+06_DCF!F12/(1+0.11)^5)+06_DCF!F12*(1+0.04)/(0.11-0.04)/(1+0.11)^5)-02_Assumptions!$B$34+02_Assumptions!$B$35)/02_Assumptions!$B$32</f>
        <v>1032.1623748506</v>
      </c>
      <c r="F7" s="52" t="n">
        <f aca="false">(((06_DCF!B12/(1+0.12)^1+06_DCF!C12/(1+0.12)^2+06_DCF!D12/(1+0.12)^3+06_DCF!E12/(1+0.12)^4+06_DCF!F12/(1+0.12)^5)+06_DCF!F12*(1+0.04)/(0.12-0.04)/(1+0.12)^5)-02_Assumptions!$B$34+02_Assumptions!$B$35)/02_Assumptions!$B$32</f>
        <v>902.711534819338</v>
      </c>
    </row>
    <row r="8" customFormat="false" ht="15" hidden="false" customHeight="true" outlineLevel="0" collapsed="false">
      <c r="A8" s="50" t="n">
        <v>0.045</v>
      </c>
      <c r="B8" s="48" t="n">
        <f aca="false">(((06_DCF!B12/(1+0.08)^1+06_DCF!C12/(1+0.08)^2+06_DCF!D12/(1+0.08)^3+06_DCF!E12/(1+0.08)^4+06_DCF!F12/(1+0.08)^5)+06_DCF!F12*(1+0.045)/(0.08-0.045)/(1+0.08)^5)-02_Assumptions!$B$34+02_Assumptions!$B$35)/02_Assumptions!$B$32</f>
        <v>2034.30025730936</v>
      </c>
      <c r="C8" s="48" t="n">
        <f aca="false">(((06_DCF!B12/(1+0.09)^1+06_DCF!C12/(1+0.09)^2+06_DCF!D12/(1+0.09)^3+06_DCF!E12/(1+0.09)^4+06_DCF!F12/(1+0.09)^5)+06_DCF!F12*(1+0.045)/(0.09-0.045)/(1+0.09)^5)-02_Assumptions!$B$34+02_Assumptions!$B$35)/02_Assumptions!$B$32</f>
        <v>1581.23851869826</v>
      </c>
      <c r="D8" s="48" t="n">
        <f aca="false">(((06_DCF!B12/(1+0.1)^1+06_DCF!C12/(1+0.1)^2+06_DCF!D12/(1+0.1)^3+06_DCF!E12/(1+0.1)^4+06_DCF!F12/(1+0.1)^5)+06_DCF!F12*(1+0.045)/(0.1-0.045)/(1+0.1)^5)-02_Assumptions!$B$34+02_Assumptions!$B$35)/02_Assumptions!$B$32</f>
        <v>1293.1342772604</v>
      </c>
      <c r="E8" s="48" t="n">
        <f aca="false">(((06_DCF!B12/(1+0.11)^1+06_DCF!C12/(1+0.11)^2+06_DCF!D12/(1+0.11)^3+06_DCF!E12/(1+0.11)^4+06_DCF!F12/(1+0.11)^5)+06_DCF!F12*(1+0.045)/(0.11-0.045)/(1+0.11)^5)-02_Assumptions!$B$34+02_Assumptions!$B$35)/02_Assumptions!$B$32</f>
        <v>1093.84548092865</v>
      </c>
      <c r="F8" s="48" t="n">
        <f aca="false">(((06_DCF!B12/(1+0.12)^1+06_DCF!C12/(1+0.12)^2+06_DCF!D12/(1+0.12)^3+06_DCF!E12/(1+0.12)^4+06_DCF!F12/(1+0.12)^5)+06_DCF!F12*(1+0.045)/(0.12-0.045)/(1+0.12)^5)-02_Assumptions!$B$34+02_Assumptions!$B$35)/02_Assumptions!$B$32</f>
        <v>947.839547152743</v>
      </c>
    </row>
    <row r="9" customFormat="false" ht="15" hidden="false" customHeight="true" outlineLevel="0" collapsed="false">
      <c r="A9" s="50" t="n">
        <v>0.05</v>
      </c>
      <c r="B9" s="48" t="n">
        <f aca="false">(((06_DCF!B12/(1+0.08)^1+06_DCF!C12/(1+0.08)^2+06_DCF!D12/(1+0.08)^3+06_DCF!E12/(1+0.08)^4+06_DCF!F12/(1+0.08)^5)+06_DCF!F12*(1+0.05)/(0.08-0.05)/(1+0.08)^5)-02_Assumptions!$B$34+02_Assumptions!$B$35)/02_Assumptions!$B$32</f>
        <v>2332.55353524401</v>
      </c>
      <c r="C9" s="48" t="n">
        <f aca="false">(((06_DCF!B12/(1+0.09)^1+06_DCF!C12/(1+0.09)^2+06_DCF!D12/(1+0.09)^3+06_DCF!E12/(1+0.09)^4+06_DCF!F12/(1+0.09)^5)+06_DCF!F12*(1+0.05)/(0.09-0.05)/(1+0.09)^5)-02_Assumptions!$B$34+02_Assumptions!$B$35)/02_Assumptions!$B$32</f>
        <v>1748.92229643589</v>
      </c>
      <c r="D9" s="48" t="n">
        <f aca="false">(((06_DCF!B12/(1+0.1)^1+06_DCF!C12/(1+0.1)^2+06_DCF!D12/(1+0.1)^3+06_DCF!E12/(1+0.1)^4+06_DCF!F12/(1+0.1)^5)+06_DCF!F12*(1+0.05)/(0.1-0.05)/(1+0.1)^5)-02_Assumptions!$B$34+02_Assumptions!$B$35)/02_Assumptions!$B$32</f>
        <v>1398.95387639597</v>
      </c>
      <c r="E9" s="48" t="n">
        <f aca="false">(((06_DCF!B12/(1+0.11)^1+06_DCF!C12/(1+0.11)^2+06_DCF!D12/(1+0.11)^3+06_DCF!E12/(1+0.11)^4+06_DCF!F12/(1+0.11)^5)+06_DCF!F12*(1+0.05)/(0.11-0.05)/(1+0.11)^5)-02_Assumptions!$B$34+02_Assumptions!$B$35)/02_Assumptions!$B$32</f>
        <v>1165.80910468637</v>
      </c>
      <c r="F9" s="48" t="n">
        <f aca="false">(((06_DCF!B12/(1+0.12)^1+06_DCF!C12/(1+0.12)^2+06_DCF!D12/(1+0.12)^3+06_DCF!E12/(1+0.12)^4+06_DCF!F12/(1+0.12)^5)+06_DCF!F12*(1+0.05)/(0.12-0.05)/(1+0.12)^5)-02_Assumptions!$B$34+02_Assumptions!$B$35)/02_Assumptions!$B$32</f>
        <v>999.41441839092</v>
      </c>
    </row>
    <row r="11" customFormat="false" ht="15" hidden="false" customHeight="true" outlineLevel="0" collapsed="false">
      <c r="A11" s="27" t="s">
        <v>237</v>
      </c>
      <c r="B11" s="27"/>
      <c r="C11" s="27"/>
      <c r="D11" s="27"/>
      <c r="E11" s="27"/>
      <c r="F11" s="27"/>
      <c r="G11" s="27"/>
      <c r="H11" s="27"/>
      <c r="I11" s="27"/>
      <c r="J11" s="27"/>
      <c r="K11" s="27"/>
      <c r="L11" s="27"/>
      <c r="M11" s="27"/>
    </row>
    <row r="13" customFormat="false" ht="15" hidden="false" customHeight="true" outlineLevel="0" collapsed="false">
      <c r="A13" s="6" t="s">
        <v>238</v>
      </c>
      <c r="B13" s="6"/>
      <c r="C13" s="6"/>
      <c r="D13" s="6"/>
      <c r="E13" s="6"/>
      <c r="F13" s="6"/>
      <c r="G13" s="6"/>
      <c r="H13" s="6"/>
      <c r="I13" s="6"/>
      <c r="J13" s="6"/>
      <c r="K13" s="6"/>
      <c r="L13" s="6"/>
      <c r="M13" s="6"/>
    </row>
    <row r="14" customFormat="false" ht="15" hidden="false" customHeight="true" outlineLevel="0" collapsed="false">
      <c r="A14" s="17" t="s">
        <v>239</v>
      </c>
      <c r="B14" s="17" t="s">
        <v>240</v>
      </c>
      <c r="C14" s="17" t="s">
        <v>241</v>
      </c>
      <c r="D14" s="17" t="s">
        <v>242</v>
      </c>
      <c r="E14" s="17" t="s">
        <v>243</v>
      </c>
    </row>
    <row r="15" customFormat="false" ht="15" hidden="false" customHeight="true" outlineLevel="0" collapsed="false">
      <c r="A15" s="14" t="s">
        <v>244</v>
      </c>
      <c r="B15" s="18" t="n">
        <v>0.055</v>
      </c>
      <c r="C15" s="18" t="n">
        <v>0.075</v>
      </c>
      <c r="D15" s="18" t="n">
        <v>0.1</v>
      </c>
      <c r="E15" s="27" t="s">
        <v>245</v>
      </c>
      <c r="F15" s="27"/>
      <c r="G15" s="27"/>
      <c r="H15" s="27"/>
      <c r="I15" s="27"/>
      <c r="J15" s="27"/>
      <c r="K15" s="27"/>
      <c r="L15" s="27"/>
      <c r="M15" s="27"/>
    </row>
    <row r="16" customFormat="false" ht="15" hidden="false" customHeight="true" outlineLevel="0" collapsed="false">
      <c r="A16" s="14" t="s">
        <v>246</v>
      </c>
      <c r="B16" s="18" t="n">
        <v>0.225</v>
      </c>
      <c r="C16" s="18" t="n">
        <v>0.24</v>
      </c>
      <c r="D16" s="18" t="n">
        <v>0.26</v>
      </c>
      <c r="E16" s="27" t="s">
        <v>247</v>
      </c>
      <c r="F16" s="27"/>
      <c r="G16" s="27"/>
      <c r="H16" s="27"/>
      <c r="I16" s="27"/>
      <c r="J16" s="27"/>
      <c r="K16" s="27"/>
      <c r="L16" s="27"/>
      <c r="M16" s="27"/>
    </row>
    <row r="17" customFormat="false" ht="15" hidden="false" customHeight="true" outlineLevel="0" collapsed="false">
      <c r="A17" s="14" t="s">
        <v>248</v>
      </c>
      <c r="B17" s="18" t="n">
        <v>0.115</v>
      </c>
      <c r="C17" s="18" t="n">
        <v>0.097</v>
      </c>
      <c r="D17" s="18" t="n">
        <v>0.09</v>
      </c>
      <c r="E17" s="27" t="s">
        <v>249</v>
      </c>
      <c r="F17" s="27"/>
      <c r="G17" s="27"/>
      <c r="H17" s="27"/>
      <c r="I17" s="27"/>
      <c r="J17" s="27"/>
      <c r="K17" s="27"/>
      <c r="L17" s="27"/>
      <c r="M17" s="27"/>
    </row>
    <row r="18" customFormat="false" ht="15" hidden="false" customHeight="true" outlineLevel="0" collapsed="false">
      <c r="A18" s="14" t="s">
        <v>250</v>
      </c>
      <c r="B18" s="18" t="n">
        <v>0.035</v>
      </c>
      <c r="C18" s="18" t="n">
        <v>0.04</v>
      </c>
      <c r="D18" s="18" t="n">
        <v>0.045</v>
      </c>
      <c r="E18" s="27" t="s">
        <v>251</v>
      </c>
      <c r="F18" s="27"/>
      <c r="G18" s="27"/>
      <c r="H18" s="27"/>
      <c r="I18" s="27"/>
      <c r="J18" s="27"/>
      <c r="K18" s="27"/>
      <c r="L18" s="27"/>
      <c r="M18" s="27"/>
    </row>
    <row r="19" customFormat="false" ht="15" hidden="false" customHeight="true" outlineLevel="0" collapsed="false">
      <c r="A19" s="4" t="s">
        <v>252</v>
      </c>
      <c r="B19" s="53" t="n">
        <f aca="false">(((((((03_Historical!K6*(1+0.055)^1)*0.225)-((03_Historical!K6*(1+0.055)^1)*02_Assumptions!B8))*(1-02_Assumptions!$B$11))+((03_Historical!K6*(1+0.055)^1)*02_Assumptions!B8)-((03_Historical!K6*(1+0.055)^1)*02_Assumptions!B9)-((03_Historical!K6*(1+0.055)^1)*02_Assumptions!B10*0.055/(1+0.055)))/(1+0.115)^1+(((((03_Historical!K6*(1+0.055)^2)*0.225)-((03_Historical!K6*(1+0.055)^2)*02_Assumptions!B8))*(1-02_Assumptions!$B$11))+((03_Historical!K6*(1+0.055)^2)*02_Assumptions!B8)-((03_Historical!K6*(1+0.055)^2)*02_Assumptions!B9)-((03_Historical!K6*(1+0.055)^2)*02_Assumptions!B10*0.055/(1+0.055)))/(1+0.115)^2+(((((03_Historical!K6*(1+0.055)^3)*0.225)-((03_Historical!K6*(1+0.055)^3)*02_Assumptions!B8))*(1-02_Assumptions!$B$11))+((03_Historical!K6*(1+0.055)^3)*02_Assumptions!B8)-((03_Historical!K6*(1+0.055)^3)*02_Assumptions!B9)-((03_Historical!K6*(1+0.055)^3)*02_Assumptions!B10*0.055/(1+0.055)))/(1+0.115)^3+(((((03_Historical!K6*(1+0.055)^4)*0.225)-((03_Historical!K6*(1+0.055)^4)*02_Assumptions!B8))*(1-02_Assumptions!$B$11))+((03_Historical!K6*(1+0.055)^4)*02_Assumptions!B8)-((03_Historical!K6*(1+0.055)^4)*02_Assumptions!B9)-((03_Historical!K6*(1+0.055)^4)*02_Assumptions!B10*0.055/(1+0.055)))/(1+0.115)^4+(((((03_Historical!K6*(1+0.055)^5)*0.225)-((03_Historical!K6*(1+0.055)^5)*02_Assumptions!B8))*(1-02_Assumptions!$B$11))+((03_Historical!K6*(1+0.055)^5)*02_Assumptions!B8)-((03_Historical!K6*(1+0.055)^5)*02_Assumptions!B9)-((03_Historical!K6*(1+0.055)^5)*02_Assumptions!B10*0.055/(1+0.055)))/(1+0.115)^5+(((((((03_Historical!K6*(1+0.055)^5)*0.225)-((03_Historical!K6*(1+0.055)^5)*02_Assumptions!B8))*(1-02_Assumptions!$B$11))+((03_Historical!K6*(1+0.055)^5)*02_Assumptions!B8)-((03_Historical!K6*(1+0.055)^5)*02_Assumptions!B9)-((03_Historical!K6*(1+0.055)^5)*02_Assumptions!B10*0.055/(1+0.055)))*(1+0.035)/(0.115-0.035))/(1+0.115)^5))-02_Assumptions!$B$34+02_Assumptions!$B$35)/02_Assumptions!$B$32</f>
        <v>771.48763378197</v>
      </c>
      <c r="C19" s="47" t="n">
        <f aca="false">(((((((03_Historical!K6*(1+0.075)^1)*0.24)-((03_Historical!K6*(1+0.075)^1)*02_Assumptions!B8))*(1-02_Assumptions!$B$11))+((03_Historical!K6*(1+0.075)^1)*02_Assumptions!B8)-((03_Historical!K6*(1+0.075)^1)*02_Assumptions!B9)-((03_Historical!K6*(1+0.075)^1)*02_Assumptions!B10*0.075/(1+0.075)))/(1+0.097)^1+(((((03_Historical!K6*(1+0.075)^2)*0.24)-((03_Historical!K6*(1+0.075)^2)*02_Assumptions!B8))*(1-02_Assumptions!$B$11))+((03_Historical!K6*(1+0.075)^2)*02_Assumptions!B8)-((03_Historical!K6*(1+0.075)^2)*02_Assumptions!B9)-((03_Historical!K6*(1+0.075)^2)*02_Assumptions!B10*0.075/(1+0.075)))/(1+0.097)^2+(((((03_Historical!K6*(1+0.075)^3)*0.24)-((03_Historical!K6*(1+0.075)^3)*02_Assumptions!B8))*(1-02_Assumptions!$B$11))+((03_Historical!K6*(1+0.075)^3)*02_Assumptions!B8)-((03_Historical!K6*(1+0.075)^3)*02_Assumptions!B9)-((03_Historical!K6*(1+0.075)^3)*02_Assumptions!B10*0.075/(1+0.075)))/(1+0.097)^3+(((((03_Historical!K6*(1+0.075)^4)*0.24)-((03_Historical!K6*(1+0.075)^4)*02_Assumptions!B8))*(1-02_Assumptions!$B$11))+((03_Historical!K6*(1+0.075)^4)*02_Assumptions!B8)-((03_Historical!K6*(1+0.075)^4)*02_Assumptions!B9)-((03_Historical!K6*(1+0.075)^4)*02_Assumptions!B10*0.075/(1+0.075)))/(1+0.097)^4+(((((03_Historical!K6*(1+0.075)^5)*0.24)-((03_Historical!K6*(1+0.075)^5)*02_Assumptions!B8))*(1-02_Assumptions!$B$11))+((03_Historical!K6*(1+0.075)^5)*02_Assumptions!B8)-((03_Historical!K6*(1+0.075)^5)*02_Assumptions!B9)-((03_Historical!K6*(1+0.075)^5)*02_Assumptions!B10*0.075/(1+0.075)))/(1+0.097)^5+(((((((03_Historical!K6*(1+0.075)^5)*0.24)-((03_Historical!K6*(1+0.075)^5)*02_Assumptions!B8))*(1-02_Assumptions!$B$11))+((03_Historical!K6*(1+0.075)^5)*02_Assumptions!B8)-((03_Historical!K6*(1+0.075)^5)*02_Assumptions!B9)-((03_Historical!K6*(1+0.075)^5)*02_Assumptions!B10*0.075/(1+0.075)))*(1+0.04)/(0.097-0.04))/(1+0.097)^5))-02_Assumptions!$B$34+02_Assumptions!$B$35)/02_Assumptions!$B$32</f>
        <v>1204.10432543348</v>
      </c>
      <c r="D19" s="41" t="n">
        <f aca="false">(((((((03_Historical!K6*(1+0.1)^1)*0.26)-((03_Historical!K6*(1+0.1)^1)*02_Assumptions!B8))*(1-02_Assumptions!$B$11))+((03_Historical!K6*(1+0.1)^1)*02_Assumptions!B8)-((03_Historical!K6*(1+0.1)^1)*02_Assumptions!B9)-((03_Historical!K6*(1+0.1)^1)*02_Assumptions!B10*0.1/(1+0.1)))/(1+0.09)^1+(((((03_Historical!K6*(1+0.1)^2)*0.26)-((03_Historical!K6*(1+0.1)^2)*02_Assumptions!B8))*(1-02_Assumptions!$B$11))+((03_Historical!K6*(1+0.1)^2)*02_Assumptions!B8)-((03_Historical!K6*(1+0.1)^2)*02_Assumptions!B9)-((03_Historical!K6*(1+0.1)^2)*02_Assumptions!B10*0.1/(1+0.1)))/(1+0.09)^2+(((((03_Historical!K6*(1+0.1)^3)*0.26)-((03_Historical!K6*(1+0.1)^3)*02_Assumptions!B8))*(1-02_Assumptions!$B$11))+((03_Historical!K6*(1+0.1)^3)*02_Assumptions!B8)-((03_Historical!K6*(1+0.1)^3)*02_Assumptions!B9)-((03_Historical!K6*(1+0.1)^3)*02_Assumptions!B10*0.1/(1+0.1)))/(1+0.09)^3+(((((03_Historical!K6*(1+0.1)^4)*0.26)-((03_Historical!K6*(1+0.1)^4)*02_Assumptions!B8))*(1-02_Assumptions!$B$11))+((03_Historical!K6*(1+0.1)^4)*02_Assumptions!B8)-((03_Historical!K6*(1+0.1)^4)*02_Assumptions!B9)-((03_Historical!K6*(1+0.1)^4)*02_Assumptions!B10*0.1/(1+0.1)))/(1+0.09)^4+(((((03_Historical!K6*(1+0.1)^5)*0.26)-((03_Historical!K6*(1+0.1)^5)*02_Assumptions!B8))*(1-02_Assumptions!$B$11))+((03_Historical!K6*(1+0.1)^5)*02_Assumptions!B8)-((03_Historical!K6*(1+0.1)^5)*02_Assumptions!B9)-((03_Historical!K6*(1+0.1)^5)*02_Assumptions!B10*0.1/(1+0.1)))/(1+0.09)^5+(((((((03_Historical!K6*(1+0.1)^5)*0.26)-((03_Historical!K6*(1+0.1)^5)*02_Assumptions!B8))*(1-02_Assumptions!$B$11))+((03_Historical!K6*(1+0.1)^5)*02_Assumptions!B8)-((03_Historical!K6*(1+0.1)^5)*02_Assumptions!B9)-((03_Historical!K6*(1+0.1)^5)*02_Assumptions!B10*0.1/(1+0.1)))*(1+0.045)/(0.09-0.045))/(1+0.09)^5))-02_Assumptions!$B$34+02_Assumptions!$B$35)/02_Assumptions!$B$32</f>
        <v>1774.86219008432</v>
      </c>
      <c r="E19" s="27" t="s">
        <v>253</v>
      </c>
      <c r="F19" s="27"/>
      <c r="G19" s="27"/>
      <c r="H19" s="27"/>
      <c r="I19" s="27"/>
      <c r="J19" s="27"/>
      <c r="K19" s="27"/>
      <c r="L19" s="27"/>
      <c r="M19" s="27"/>
    </row>
    <row r="20" customFormat="false" ht="15" hidden="false" customHeight="true" outlineLevel="0" collapsed="false">
      <c r="A20" s="14" t="s">
        <v>194</v>
      </c>
      <c r="B20" s="42" t="n">
        <f aca="false">02_Assumptions!$B$31</f>
        <v>1190.7</v>
      </c>
      <c r="C20" s="42" t="n">
        <f aca="false">02_Assumptions!$B$31</f>
        <v>1190.7</v>
      </c>
      <c r="D20" s="42" t="n">
        <f aca="false">02_Assumptions!$B$31</f>
        <v>1190.7</v>
      </c>
    </row>
    <row r="21" customFormat="false" ht="15" hidden="false" customHeight="true" outlineLevel="0" collapsed="false">
      <c r="A21" s="4" t="s">
        <v>254</v>
      </c>
      <c r="B21" s="33" t="n">
        <f aca="false">B19/B20-1</f>
        <v>-0.352072198049912</v>
      </c>
      <c r="C21" s="33" t="n">
        <f aca="false">C19/C20-1</f>
        <v>0.0112575169509397</v>
      </c>
      <c r="D21" s="33" t="n">
        <f aca="false">D19/D20-1</f>
        <v>0.490604006117678</v>
      </c>
    </row>
    <row r="23" customFormat="false" ht="25.5" hidden="false" customHeight="true" outlineLevel="0" collapsed="false">
      <c r="A23" s="4" t="s">
        <v>240</v>
      </c>
      <c r="B23" s="54" t="s">
        <v>255</v>
      </c>
      <c r="C23" s="54"/>
      <c r="D23" s="54"/>
      <c r="E23" s="54"/>
      <c r="F23" s="54"/>
      <c r="G23" s="54"/>
      <c r="H23" s="54"/>
      <c r="I23" s="54"/>
      <c r="J23" s="54"/>
      <c r="K23" s="54"/>
      <c r="L23" s="54"/>
      <c r="M23" s="54"/>
    </row>
    <row r="24" customFormat="false" ht="25.5" hidden="false" customHeight="true" outlineLevel="0" collapsed="false">
      <c r="A24" s="4" t="s">
        <v>241</v>
      </c>
      <c r="B24" s="54" t="s">
        <v>256</v>
      </c>
      <c r="C24" s="54"/>
      <c r="D24" s="54"/>
      <c r="E24" s="54"/>
      <c r="F24" s="54"/>
      <c r="G24" s="54"/>
      <c r="H24" s="54"/>
      <c r="I24" s="54"/>
      <c r="J24" s="54"/>
      <c r="K24" s="54"/>
      <c r="L24" s="54"/>
      <c r="M24" s="54"/>
    </row>
    <row r="25" customFormat="false" ht="25.5" hidden="false" customHeight="true" outlineLevel="0" collapsed="false">
      <c r="A25" s="4" t="s">
        <v>242</v>
      </c>
      <c r="B25" s="54" t="s">
        <v>257</v>
      </c>
      <c r="C25" s="54"/>
      <c r="D25" s="54"/>
      <c r="E25" s="54"/>
      <c r="F25" s="54"/>
      <c r="G25" s="54"/>
      <c r="H25" s="54"/>
      <c r="I25" s="54"/>
      <c r="J25" s="54"/>
      <c r="K25" s="54"/>
      <c r="L25" s="54"/>
      <c r="M25" s="54"/>
    </row>
  </sheetData>
  <mergeCells count="12">
    <mergeCell ref="A1:M1"/>
    <mergeCell ref="A3:M3"/>
    <mergeCell ref="A11:M11"/>
    <mergeCell ref="A13:M13"/>
    <mergeCell ref="E15:M15"/>
    <mergeCell ref="E16:M16"/>
    <mergeCell ref="E17:M17"/>
    <mergeCell ref="E18:M18"/>
    <mergeCell ref="E19:M19"/>
    <mergeCell ref="B23:M23"/>
    <mergeCell ref="B24:M24"/>
    <mergeCell ref="B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8" min="3" style="1" width="18"/>
    <col collapsed="false" customWidth="true" hidden="false" outlineLevel="0" max="9" min="9" style="1" width="2"/>
  </cols>
  <sheetData>
    <row r="1" customFormat="false" ht="36" hidden="false" customHeight="true" outlineLevel="0" collapsed="false">
      <c r="B1" s="55" t="s">
        <v>258</v>
      </c>
      <c r="C1" s="55"/>
      <c r="D1" s="55"/>
      <c r="E1" s="55"/>
      <c r="F1" s="55"/>
      <c r="G1" s="55"/>
      <c r="H1" s="55"/>
    </row>
    <row r="2" customFormat="false" ht="15" hidden="false" customHeight="true" outlineLevel="0" collapsed="false">
      <c r="B2" s="56" t="s">
        <v>259</v>
      </c>
      <c r="C2" s="56"/>
      <c r="D2" s="56"/>
      <c r="E2" s="56"/>
      <c r="F2" s="56"/>
      <c r="G2" s="56"/>
      <c r="H2" s="56"/>
    </row>
    <row r="4" customFormat="false" ht="19.5" hidden="false" customHeight="true" outlineLevel="0" collapsed="false">
      <c r="B4" s="57" t="s">
        <v>260</v>
      </c>
      <c r="C4" s="57"/>
      <c r="D4" s="57"/>
      <c r="E4" s="57"/>
      <c r="F4" s="57"/>
      <c r="G4" s="57"/>
      <c r="H4" s="57"/>
    </row>
    <row r="5" customFormat="false" ht="18" hidden="false" customHeight="true" outlineLevel="0" collapsed="false">
      <c r="B5" s="58" t="s">
        <v>194</v>
      </c>
      <c r="C5" s="58" t="s">
        <v>261</v>
      </c>
      <c r="D5" s="58" t="s">
        <v>262</v>
      </c>
      <c r="E5" s="58" t="s">
        <v>263</v>
      </c>
      <c r="F5" s="58" t="s">
        <v>264</v>
      </c>
      <c r="G5" s="58" t="s">
        <v>265</v>
      </c>
      <c r="H5" s="58" t="s">
        <v>266</v>
      </c>
    </row>
    <row r="6" customFormat="false" ht="30" hidden="false" customHeight="true" outlineLevel="0" collapsed="false">
      <c r="B6" s="59" t="n">
        <f aca="false">02_Assumptions!$B$31</f>
        <v>1190.7</v>
      </c>
      <c r="C6" s="60" t="n">
        <f aca="false">06_DCF!$B$29</f>
        <v>880.812226815216</v>
      </c>
      <c r="D6" s="61" t="n">
        <f aca="false">06_DCF!$B$31</f>
        <v>-0.260256801196594</v>
      </c>
      <c r="E6" s="62" t="n">
        <f aca="false">02_Assumptions!$B$38</f>
        <v>0.121982727423224</v>
      </c>
      <c r="F6" s="62" t="n">
        <f aca="false">02_Assumptions!$B$39</f>
        <v>0.04</v>
      </c>
      <c r="G6" s="63" t="n">
        <f aca="false">06_DCF!$B$22</f>
        <v>344817.682864296</v>
      </c>
      <c r="H6" s="63" t="n">
        <f aca="false">06_DCF!$B$27</f>
        <v>357521.682864296</v>
      </c>
    </row>
    <row r="8" customFormat="false" ht="18" hidden="false" customHeight="true" outlineLevel="0" collapsed="false">
      <c r="B8" s="58" t="s">
        <v>267</v>
      </c>
      <c r="C8" s="58" t="s">
        <v>268</v>
      </c>
      <c r="D8" s="58" t="s">
        <v>269</v>
      </c>
      <c r="E8" s="58" t="s">
        <v>270</v>
      </c>
      <c r="F8" s="58" t="s">
        <v>271</v>
      </c>
      <c r="G8" s="58" t="s">
        <v>272</v>
      </c>
      <c r="H8" s="58" t="s">
        <v>220</v>
      </c>
    </row>
    <row r="9" customFormat="false" ht="30" hidden="false" customHeight="true" outlineLevel="0" collapsed="false">
      <c r="B9" s="62" t="n">
        <f aca="false">02_Assumptions!$B$27</f>
        <v>0.12325</v>
      </c>
      <c r="C9" s="64" t="n">
        <f aca="false">02_Assumptions!$B$26</f>
        <v>0.85</v>
      </c>
      <c r="D9" s="62" t="n">
        <f aca="false">02_Assumptions!$B$24</f>
        <v>0.068</v>
      </c>
      <c r="E9" s="62" t="n">
        <f aca="false">02_Assumptions!$B$25</f>
        <v>0.065</v>
      </c>
      <c r="F9" s="62" t="n">
        <f aca="false">02_Assumptions!$B$30</f>
        <v>0.0552347612653858</v>
      </c>
      <c r="G9" s="64" t="n">
        <f aca="false">02_Assumptions!$B$32</f>
        <v>405.9</v>
      </c>
      <c r="H9" s="63" t="n">
        <f aca="false">02_Assumptions!$B$33</f>
        <v>483305.13</v>
      </c>
    </row>
    <row r="11" customFormat="false" ht="15" hidden="false" customHeight="true" outlineLevel="0" collapsed="false">
      <c r="B11" s="57" t="s">
        <v>273</v>
      </c>
      <c r="C11" s="57"/>
      <c r="D11" s="57"/>
      <c r="E11" s="57"/>
      <c r="F11" s="57"/>
      <c r="G11" s="57"/>
      <c r="H11" s="57"/>
    </row>
    <row r="12" customFormat="false" ht="15" hidden="false" customHeight="true" outlineLevel="0" collapsed="false">
      <c r="B12" s="17" t="s">
        <v>225</v>
      </c>
      <c r="C12" s="17" t="s">
        <v>274</v>
      </c>
      <c r="D12" s="17" t="s">
        <v>275</v>
      </c>
      <c r="E12" s="17" t="s">
        <v>276</v>
      </c>
      <c r="F12" s="17" t="s">
        <v>277</v>
      </c>
      <c r="G12" s="17" t="s">
        <v>278</v>
      </c>
    </row>
    <row r="13" customFormat="false" ht="18" hidden="false" customHeight="true" outlineLevel="0" collapsed="false">
      <c r="B13" s="4" t="s">
        <v>112</v>
      </c>
      <c r="C13" s="24" t="n">
        <f aca="false">04_Forecast_Model!B5</f>
        <v>192942</v>
      </c>
      <c r="D13" s="24" t="n">
        <f aca="false">04_Forecast_Model!C5</f>
        <v>208377.36</v>
      </c>
      <c r="E13" s="24" t="n">
        <f aca="false">04_Forecast_Model!D5</f>
        <v>222963.7752</v>
      </c>
      <c r="F13" s="24" t="n">
        <f aca="false">04_Forecast_Model!E5</f>
        <v>238571.239464</v>
      </c>
      <c r="G13" s="24" t="n">
        <f aca="false">04_Forecast_Model!F5</f>
        <v>252885.51383184</v>
      </c>
      <c r="H13" s="65" t="s">
        <v>279</v>
      </c>
    </row>
    <row r="14" customFormat="false" ht="18" hidden="false" customHeight="true" outlineLevel="0" collapsed="false">
      <c r="B14" s="4" t="s">
        <v>151</v>
      </c>
      <c r="C14" s="24" t="n">
        <f aca="false">04_Forecast_Model!B7</f>
        <v>46306.08</v>
      </c>
      <c r="D14" s="24" t="n">
        <f aca="false">04_Forecast_Model!C7</f>
        <v>50010.5664</v>
      </c>
      <c r="E14" s="24" t="n">
        <f aca="false">04_Forecast_Model!D7</f>
        <v>54626.124924</v>
      </c>
      <c r="F14" s="24" t="n">
        <f aca="false">04_Forecast_Model!E7</f>
        <v>58449.95366868</v>
      </c>
      <c r="G14" s="24" t="n">
        <f aca="false">04_Forecast_Model!F7</f>
        <v>63221.37845796</v>
      </c>
      <c r="H14" s="65" t="s">
        <v>279</v>
      </c>
    </row>
    <row r="15" customFormat="false" ht="18" hidden="false" customHeight="true" outlineLevel="0" collapsed="false">
      <c r="B15" s="4" t="s">
        <v>280</v>
      </c>
      <c r="C15" s="21" t="n">
        <f aca="false">04_Forecast_Model!B8</f>
        <v>0.24</v>
      </c>
      <c r="D15" s="21" t="n">
        <f aca="false">04_Forecast_Model!C8</f>
        <v>0.24</v>
      </c>
      <c r="E15" s="21" t="n">
        <f aca="false">04_Forecast_Model!D8</f>
        <v>0.245</v>
      </c>
      <c r="F15" s="21" t="n">
        <f aca="false">04_Forecast_Model!E8</f>
        <v>0.245</v>
      </c>
      <c r="G15" s="21" t="n">
        <f aca="false">04_Forecast_Model!F8</f>
        <v>0.25</v>
      </c>
      <c r="H15" s="65" t="s">
        <v>281</v>
      </c>
    </row>
    <row r="16" customFormat="false" ht="18" hidden="false" customHeight="true" outlineLevel="0" collapsed="false">
      <c r="B16" s="4" t="s">
        <v>154</v>
      </c>
      <c r="C16" s="24" t="n">
        <f aca="false">04_Forecast_Model!B14</f>
        <v>29752.1262388495</v>
      </c>
      <c r="D16" s="24" t="n">
        <f aca="false">04_Forecast_Model!C14</f>
        <v>32132.2963379575</v>
      </c>
      <c r="E16" s="24" t="n">
        <f aca="false">04_Forecast_Model!D14</f>
        <v>35202.5804745479</v>
      </c>
      <c r="F16" s="24" t="n">
        <f aca="false">04_Forecast_Model!E14</f>
        <v>37666.7611077663</v>
      </c>
      <c r="G16" s="24" t="n">
        <f aca="false">04_Forecast_Model!F14</f>
        <v>40857.9715064973</v>
      </c>
      <c r="H16" s="65" t="s">
        <v>279</v>
      </c>
    </row>
    <row r="17" customFormat="false" ht="18" hidden="false" customHeight="true" outlineLevel="0" collapsed="false">
      <c r="B17" s="4" t="s">
        <v>282</v>
      </c>
      <c r="C17" s="24" t="n">
        <f aca="false">06_DCF!B12</f>
        <v>19854.1492009733</v>
      </c>
      <c r="D17" s="24" t="n">
        <f aca="false">06_DCF!C12</f>
        <v>25946.0811370511</v>
      </c>
      <c r="E17" s="24" t="n">
        <f aca="false">06_DCF!D12</f>
        <v>29123.5678095781</v>
      </c>
      <c r="F17" s="24" t="n">
        <f aca="false">06_DCF!E12</f>
        <v>31162.2175562486</v>
      </c>
      <c r="G17" s="24" t="n">
        <f aca="false">06_DCF!F12</f>
        <v>34587.4539124486</v>
      </c>
      <c r="H17" s="65" t="s">
        <v>283</v>
      </c>
    </row>
    <row r="19" customFormat="false" ht="15" hidden="false" customHeight="true" outlineLevel="0" collapsed="false">
      <c r="B19" s="57" t="s">
        <v>284</v>
      </c>
      <c r="C19" s="57"/>
      <c r="D19" s="57"/>
      <c r="E19" s="57"/>
      <c r="F19" s="57"/>
      <c r="G19" s="57"/>
      <c r="H19" s="57"/>
    </row>
    <row r="20" customFormat="false" ht="18" hidden="false" customHeight="true" outlineLevel="0" collapsed="false">
      <c r="B20" s="58" t="s">
        <v>285</v>
      </c>
      <c r="C20" s="58" t="s">
        <v>286</v>
      </c>
      <c r="D20" s="58" t="s">
        <v>287</v>
      </c>
      <c r="E20" s="58" t="s">
        <v>288</v>
      </c>
      <c r="F20" s="58" t="s">
        <v>289</v>
      </c>
      <c r="G20" s="58" t="s">
        <v>290</v>
      </c>
      <c r="H20" s="58" t="s">
        <v>291</v>
      </c>
    </row>
    <row r="21" customFormat="false" ht="30" hidden="false" customHeight="true" outlineLevel="0" collapsed="false">
      <c r="B21" s="66" t="n">
        <f aca="false">08_Sensitivity!B19</f>
        <v>771.48763378197</v>
      </c>
      <c r="C21" s="67" t="n">
        <f aca="false">08_Sensitivity!C19</f>
        <v>1204.10432543348</v>
      </c>
      <c r="D21" s="60" t="n">
        <f aca="false">08_Sensitivity!D19</f>
        <v>1774.86219008432</v>
      </c>
      <c r="E21" s="59" t="n">
        <f aca="false">02_Assumptions!$B$31</f>
        <v>1190.7</v>
      </c>
      <c r="F21" s="61" t="n">
        <f aca="false">B21/E21-1</f>
        <v>-0.352072198049912</v>
      </c>
      <c r="G21" s="62" t="n">
        <f aca="false">C21/E21-1</f>
        <v>0.0112575169509397</v>
      </c>
      <c r="H21" s="68" t="n">
        <f aca="false">D21/E21-1</f>
        <v>0.490604006117678</v>
      </c>
    </row>
    <row r="23" customFormat="false" ht="15" hidden="false" customHeight="true" outlineLevel="0" collapsed="false">
      <c r="B23" s="57" t="s">
        <v>292</v>
      </c>
      <c r="C23" s="57"/>
      <c r="D23" s="57"/>
      <c r="E23" s="57"/>
      <c r="F23" s="57"/>
      <c r="G23" s="57"/>
      <c r="H23" s="57"/>
    </row>
    <row r="24" customFormat="false" ht="18" hidden="false" customHeight="true" outlineLevel="0" collapsed="false">
      <c r="B24" s="58" t="s">
        <v>293</v>
      </c>
      <c r="C24" s="58" t="s">
        <v>294</v>
      </c>
      <c r="D24" s="58" t="s">
        <v>295</v>
      </c>
      <c r="E24" s="58" t="s">
        <v>296</v>
      </c>
      <c r="F24" s="58" t="s">
        <v>297</v>
      </c>
      <c r="G24" s="58" t="s">
        <v>298</v>
      </c>
      <c r="H24" s="58" t="s">
        <v>299</v>
      </c>
    </row>
    <row r="25" customFormat="false" ht="30" hidden="false" customHeight="true" outlineLevel="0" collapsed="false">
      <c r="B25" s="69" t="n">
        <f aca="false">03_Historical!K6</f>
        <v>178650</v>
      </c>
      <c r="C25" s="69" t="n">
        <f aca="false">03_Historical!K8</f>
        <v>42280</v>
      </c>
      <c r="D25" s="70" t="n">
        <f aca="false">03_Historical!K21</f>
        <v>0.236663867898125</v>
      </c>
      <c r="E25" s="69" t="n">
        <f aca="false">03_Historical!K15</f>
        <v>29474</v>
      </c>
      <c r="F25" s="71" t="n">
        <f aca="false">03_Historical!K16</f>
        <v>72.59</v>
      </c>
      <c r="G25" s="69" t="n">
        <f aca="false">03_Historical!K39</f>
        <v>33986</v>
      </c>
      <c r="H25" s="70" t="n">
        <f aca="false">((03_Historical!K6/03_Historical!B6)^(1/9))-1</f>
        <v>0.112418521951353</v>
      </c>
    </row>
    <row r="27" customFormat="false" ht="15" hidden="false" customHeight="true" outlineLevel="0" collapsed="false">
      <c r="B27" s="35" t="s">
        <v>300</v>
      </c>
      <c r="C27" s="35"/>
      <c r="D27" s="35"/>
      <c r="E27" s="35"/>
      <c r="F27" s="35"/>
      <c r="G27" s="35"/>
      <c r="H27" s="35"/>
    </row>
    <row r="28" customFormat="false" ht="15" hidden="false" customHeight="true" outlineLevel="0" collapsed="false">
      <c r="B28" s="35"/>
      <c r="C28" s="35"/>
      <c r="D28" s="35"/>
      <c r="E28" s="35"/>
      <c r="F28" s="35"/>
      <c r="G28" s="35"/>
      <c r="H28" s="35"/>
    </row>
  </sheetData>
  <mergeCells count="7">
    <mergeCell ref="B1:H1"/>
    <mergeCell ref="B2:H2"/>
    <mergeCell ref="B4:H4"/>
    <mergeCell ref="B11:H11"/>
    <mergeCell ref="B19:H19"/>
    <mergeCell ref="B23:H23"/>
    <mergeCell ref="B27: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2026-08-12T18:40:27Z</dcterms:created>
  <dc:creator>openpyxl</dc:creator>
  <dc:description/>
  <dc:language>en-US</dc:language>
  <cp:lastModifiedBy/>
  <dcterms:modified xsi:type="dcterms:W3CDTF">2026-08-16T12:06:22Z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